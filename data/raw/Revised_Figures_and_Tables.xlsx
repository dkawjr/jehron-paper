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wetalodha/Desktop/"/>
    </mc:Choice>
  </mc:AlternateContent>
  <xr:revisionPtr revIDLastSave="0" documentId="13_ncr:1_{B5998CE8-30C0-664F-B67B-9D0E00419113}" xr6:coauthVersionLast="47" xr6:coauthVersionMax="47" xr10:uidLastSave="{00000000-0000-0000-0000-000000000000}"/>
  <bookViews>
    <workbookView xWindow="3160" yWindow="500" windowWidth="25660" windowHeight="15980" activeTab="1" xr2:uid="{2945D747-A15B-7B47-8D4A-3A6C0E838384}"/>
  </bookViews>
  <sheets>
    <sheet name="Figure 1" sheetId="1" r:id="rId1"/>
    <sheet name="Figure 2" sheetId="2" r:id="rId2"/>
    <sheet name="Figure 3" sheetId="5" r:id="rId3"/>
    <sheet name="Figure 4" sheetId="3" r:id="rId4"/>
    <sheet name="Figure 5" sheetId="10" r:id="rId5"/>
    <sheet name="Table 1" sheetId="6" r:id="rId6"/>
    <sheet name="Table 2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1" i="3" l="1"/>
  <c r="D42" i="3"/>
  <c r="D43" i="3"/>
  <c r="D44" i="3"/>
  <c r="D45" i="3"/>
  <c r="D40" i="3"/>
  <c r="C41" i="3"/>
  <c r="C42" i="3"/>
  <c r="C43" i="3"/>
  <c r="C44" i="3"/>
  <c r="C45" i="3"/>
  <c r="C40" i="3"/>
  <c r="B41" i="3"/>
  <c r="B42" i="3"/>
  <c r="B43" i="3"/>
  <c r="B44" i="3"/>
  <c r="B45" i="3"/>
  <c r="B40" i="3"/>
  <c r="E38" i="3"/>
  <c r="E37" i="3"/>
  <c r="E36" i="3"/>
  <c r="E35" i="3"/>
  <c r="E34" i="3"/>
  <c r="E33" i="3"/>
  <c r="G44" i="2"/>
  <c r="G45" i="2"/>
  <c r="G46" i="2"/>
  <c r="G47" i="2"/>
  <c r="G48" i="2"/>
  <c r="G43" i="2"/>
  <c r="G49" i="2" s="1"/>
  <c r="H49" i="2"/>
  <c r="I49" i="2"/>
  <c r="I44" i="2"/>
  <c r="I45" i="2"/>
  <c r="I46" i="2"/>
  <c r="I47" i="2"/>
  <c r="I48" i="2"/>
  <c r="H44" i="2"/>
  <c r="H45" i="2"/>
  <c r="H46" i="2"/>
  <c r="H47" i="2"/>
  <c r="H48" i="2"/>
  <c r="I43" i="2"/>
  <c r="H43" i="2"/>
  <c r="E44" i="2"/>
  <c r="E45" i="2"/>
  <c r="E46" i="2"/>
  <c r="E47" i="2"/>
  <c r="E48" i="2"/>
  <c r="E43" i="2"/>
  <c r="F33" i="5"/>
  <c r="G33" i="5"/>
  <c r="H33" i="5"/>
  <c r="I33" i="5"/>
  <c r="J33" i="5"/>
  <c r="K33" i="5"/>
  <c r="L33" i="5"/>
  <c r="M33" i="5"/>
  <c r="N33" i="5"/>
  <c r="O33" i="5"/>
  <c r="P33" i="5"/>
  <c r="F34" i="5"/>
  <c r="G34" i="5"/>
  <c r="H34" i="5"/>
  <c r="I34" i="5"/>
  <c r="J34" i="5"/>
  <c r="K34" i="5"/>
  <c r="L34" i="5"/>
  <c r="M34" i="5"/>
  <c r="N34" i="5"/>
  <c r="O34" i="5"/>
  <c r="P34" i="5"/>
  <c r="F35" i="5"/>
  <c r="G35" i="5"/>
  <c r="H35" i="5"/>
  <c r="I35" i="5"/>
  <c r="J35" i="5"/>
  <c r="K35" i="5"/>
  <c r="L35" i="5"/>
  <c r="M35" i="5"/>
  <c r="N35" i="5"/>
  <c r="O35" i="5"/>
  <c r="P35" i="5"/>
  <c r="F36" i="5"/>
  <c r="G36" i="5"/>
  <c r="H36" i="5"/>
  <c r="I36" i="5"/>
  <c r="J36" i="5"/>
  <c r="K36" i="5"/>
  <c r="L36" i="5"/>
  <c r="M36" i="5"/>
  <c r="N36" i="5"/>
  <c r="O36" i="5"/>
  <c r="P36" i="5"/>
  <c r="C28" i="3"/>
  <c r="D28" i="3"/>
  <c r="B28" i="3"/>
  <c r="C27" i="3"/>
  <c r="D27" i="3"/>
  <c r="B27" i="3"/>
  <c r="C26" i="3"/>
  <c r="D26" i="3"/>
  <c r="B26" i="3"/>
  <c r="C25" i="3"/>
  <c r="D25" i="3"/>
  <c r="B25" i="3"/>
  <c r="E9" i="3"/>
  <c r="E8" i="3"/>
  <c r="E7" i="3"/>
  <c r="E6" i="3"/>
  <c r="E5" i="3"/>
  <c r="E4" i="3"/>
  <c r="E3" i="3"/>
  <c r="D14" i="1" a="1"/>
  <c r="J15" i="1" l="1"/>
  <c r="I15" i="1"/>
  <c r="F15" i="1"/>
  <c r="E15" i="1"/>
  <c r="D14" i="1"/>
  <c r="D15" i="1" s="1"/>
  <c r="K15" i="1"/>
  <c r="H15" i="1"/>
  <c r="G15" i="1"/>
  <c r="L15" i="1"/>
  <c r="N1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<sst xmlns="http://schemas.openxmlformats.org/spreadsheetml/2006/main" count="379" uniqueCount="175">
  <si>
    <t>GIPCR Date - SCT</t>
  </si>
  <si>
    <t xml:space="preserve">IF POSITIVE: Results of positive GIPCR#1, </t>
  </si>
  <si>
    <t>E.coli (EPEC/EAEC/ETEC/ESTX)</t>
  </si>
  <si>
    <t>Norovirus</t>
  </si>
  <si>
    <t>Giardia</t>
  </si>
  <si>
    <t>C.difficile</t>
  </si>
  <si>
    <t>Cryptospordium</t>
  </si>
  <si>
    <t>Adenovirus</t>
  </si>
  <si>
    <t>Rotavirus</t>
  </si>
  <si>
    <t>Sapovirus</t>
  </si>
  <si>
    <t xml:space="preserve">Salmonella </t>
  </si>
  <si>
    <t>Yersnia</t>
  </si>
  <si>
    <t>Other</t>
  </si>
  <si>
    <t>C.Difficle</t>
  </si>
  <si>
    <t>Salmonella</t>
  </si>
  <si>
    <t>E.Coli</t>
  </si>
  <si>
    <t>Bacteria</t>
  </si>
  <si>
    <t>Virus</t>
  </si>
  <si>
    <t>Parasite</t>
  </si>
  <si>
    <t>Total</t>
  </si>
  <si>
    <t>100-300</t>
  </si>
  <si>
    <t>300-600</t>
  </si>
  <si>
    <t>600-900</t>
  </si>
  <si>
    <t>900-1200</t>
  </si>
  <si>
    <t>1200-1500</t>
  </si>
  <si>
    <t>1500-1800</t>
  </si>
  <si>
    <t>1800-2100</t>
  </si>
  <si>
    <t xml:space="preserve">Number of Positive GI PCR Results </t>
  </si>
  <si>
    <t>100-600</t>
  </si>
  <si>
    <t>600-1200</t>
  </si>
  <si>
    <t>1200-1800</t>
  </si>
  <si>
    <t>1800-2400</t>
  </si>
  <si>
    <t>C.Difficile</t>
  </si>
  <si>
    <t>Yersina</t>
  </si>
  <si>
    <t>Patient Variable</t>
  </si>
  <si>
    <t>GVHD</t>
  </si>
  <si>
    <t>Reference</t>
  </si>
  <si>
    <t>No GVHD</t>
  </si>
  <si>
    <t>2.45 (0.96, 6.25)</t>
  </si>
  <si>
    <t>2.59 (1.12, 5.96)</t>
  </si>
  <si>
    <t>Indication</t>
  </si>
  <si>
    <t>Leukemia</t>
  </si>
  <si>
    <t>Multiple Myeloma</t>
  </si>
  <si>
    <t xml:space="preserve">0.72 (0.30, 1.71) </t>
  </si>
  <si>
    <t>X</t>
  </si>
  <si>
    <t>Sickle Cell Disease</t>
  </si>
  <si>
    <t>Lymphoma</t>
  </si>
  <si>
    <t>0.76 (0.21, 2.83)</t>
  </si>
  <si>
    <t xml:space="preserve">Other </t>
  </si>
  <si>
    <t>0.57 (0.21, 1.55)</t>
  </si>
  <si>
    <t>Source</t>
  </si>
  <si>
    <t>PBSCT</t>
  </si>
  <si>
    <t>BMT</t>
  </si>
  <si>
    <t>1.17 (0.59, 2.30)</t>
  </si>
  <si>
    <t>Hospitalization</t>
  </si>
  <si>
    <t>Hospitalized</t>
  </si>
  <si>
    <t xml:space="preserve">Not hospitalized </t>
  </si>
  <si>
    <t>1.62 (0.86, 3.03)</t>
  </si>
  <si>
    <t>Age</t>
  </si>
  <si>
    <t>1.00 (0.98, 1.03)</t>
  </si>
  <si>
    <t>Sex</t>
  </si>
  <si>
    <t>Male</t>
  </si>
  <si>
    <t>Female</t>
  </si>
  <si>
    <t>N (%) Positive GI PCR in &gt;100 days</t>
  </si>
  <si>
    <t>N (%) Negative GI PCR in &gt;100 days</t>
  </si>
  <si>
    <t>P-Value</t>
  </si>
  <si>
    <t>Total N (%)</t>
  </si>
  <si>
    <t>41 (46)</t>
  </si>
  <si>
    <t>49 (54)</t>
  </si>
  <si>
    <t>Median Age</t>
  </si>
  <si>
    <t>64 (*IQR)</t>
  </si>
  <si>
    <t>58 (*IQR)</t>
  </si>
  <si>
    <t>16 (61)</t>
  </si>
  <si>
    <t>29 (59)</t>
  </si>
  <si>
    <t>25 (61)</t>
  </si>
  <si>
    <t>20 (40)</t>
  </si>
  <si>
    <t>Ethnicity/race</t>
  </si>
  <si>
    <t>White</t>
  </si>
  <si>
    <t>14 (34)</t>
  </si>
  <si>
    <t>13 (27)</t>
  </si>
  <si>
    <t>Hispanic</t>
  </si>
  <si>
    <t>17 (41)</t>
  </si>
  <si>
    <t>14 (29)</t>
  </si>
  <si>
    <t>Asian</t>
  </si>
  <si>
    <t>2 (5)</t>
  </si>
  <si>
    <t>4 (8)</t>
  </si>
  <si>
    <t>Black</t>
  </si>
  <si>
    <t>8 (20)</t>
  </si>
  <si>
    <t>16 (33)</t>
  </si>
  <si>
    <t>Indication for SCT</t>
  </si>
  <si>
    <t>16 (39)</t>
  </si>
  <si>
    <t>Multiple myeloma</t>
  </si>
  <si>
    <t>12 (24)</t>
  </si>
  <si>
    <t>Sickle cell disease</t>
  </si>
  <si>
    <t>8 (16)</t>
  </si>
  <si>
    <t>6 (15)</t>
  </si>
  <si>
    <t>10 (20)</t>
  </si>
  <si>
    <t>Type of SCT</t>
  </si>
  <si>
    <t>Allograft</t>
  </si>
  <si>
    <t>20 (49)</t>
  </si>
  <si>
    <t>33 (67)</t>
  </si>
  <si>
    <t>Autograft</t>
  </si>
  <si>
    <t>Source of stem cells</t>
  </si>
  <si>
    <t>28 (68)</t>
  </si>
  <si>
    <t>35 (71)</t>
  </si>
  <si>
    <t>12 (29)</t>
  </si>
  <si>
    <t>Donor Type</t>
  </si>
  <si>
    <t>Haploidentical blood donors</t>
  </si>
  <si>
    <t>10 (50)</t>
  </si>
  <si>
    <t>15 (31)</t>
  </si>
  <si>
    <t>Matched unrelated donors</t>
  </si>
  <si>
    <t>9 (45)</t>
  </si>
  <si>
    <t>Mismatched related donors</t>
  </si>
  <si>
    <t>1 (5)</t>
  </si>
  <si>
    <t>3 (6)</t>
  </si>
  <si>
    <t xml:space="preserve">Conditioning Regimen </t>
  </si>
  <si>
    <t>Chemotherapy</t>
  </si>
  <si>
    <t>35 (85)</t>
  </si>
  <si>
    <t>5 (12)</t>
  </si>
  <si>
    <t>Laboratory Values</t>
  </si>
  <si>
    <t>Neutropenia at time of GI PCR</t>
  </si>
  <si>
    <t>4 (10)</t>
  </si>
  <si>
    <t>7 (14)</t>
  </si>
  <si>
    <t>Hypogammaglobulinemia (IgG 200-700) at time of  GI PCR</t>
  </si>
  <si>
    <t>19 (39)</t>
  </si>
  <si>
    <t>Severe Hypogammaglobulinemia (IgG &lt;200) at time of GI PCR</t>
  </si>
  <si>
    <t>Total Hospitalized</t>
  </si>
  <si>
    <t>21 (51)</t>
  </si>
  <si>
    <t>36 (73)</t>
  </si>
  <si>
    <t>Indication for Hospitalization</t>
  </si>
  <si>
    <t>Dyspnea</t>
  </si>
  <si>
    <t>2 (10)</t>
  </si>
  <si>
    <t>5 (10)</t>
  </si>
  <si>
    <t xml:space="preserve">Shock </t>
  </si>
  <si>
    <t>6 (12)</t>
  </si>
  <si>
    <t xml:space="preserve">Altered mental status </t>
  </si>
  <si>
    <t>2 (4)</t>
  </si>
  <si>
    <t>Fever</t>
  </si>
  <si>
    <t xml:space="preserve">GI symptoms </t>
  </si>
  <si>
    <t>5 (24)</t>
  </si>
  <si>
    <t>Cytopenia</t>
  </si>
  <si>
    <t>Failure to thrive</t>
  </si>
  <si>
    <t>7 (33)</t>
  </si>
  <si>
    <t>Mechanical Ventilation</t>
  </si>
  <si>
    <t>PPI use</t>
  </si>
  <si>
    <t>24 (59)</t>
  </si>
  <si>
    <t>38 (78)</t>
  </si>
  <si>
    <t xml:space="preserve">Pre-colonization </t>
  </si>
  <si>
    <t>Positive GI PCR (within 100 days post-SCT)</t>
  </si>
  <si>
    <t>9 (18)</t>
  </si>
  <si>
    <t>Positive C.Difficile (within 100 days post-SCT)</t>
  </si>
  <si>
    <r>
      <t xml:space="preserve">Graft-versus-host disease </t>
    </r>
    <r>
      <rPr>
        <sz val="12"/>
        <color theme="1"/>
        <rFont val="Calibri"/>
        <family val="2"/>
      </rPr>
      <t>(within the first 100 days post SCT)</t>
    </r>
  </si>
  <si>
    <r>
      <t xml:space="preserve">Mortality </t>
    </r>
    <r>
      <rPr>
        <sz val="12"/>
        <color theme="1"/>
        <rFont val="Calibri"/>
        <family val="2"/>
      </rPr>
      <t>(death within 30 days of 1</t>
    </r>
    <r>
      <rPr>
        <vertAlign val="superscript"/>
        <sz val="12"/>
        <color theme="1"/>
        <rFont val="Calibri"/>
        <family val="2"/>
      </rPr>
      <t>st</t>
    </r>
    <r>
      <rPr>
        <sz val="12"/>
        <color theme="1"/>
        <rFont val="Calibri"/>
        <family val="2"/>
      </rPr>
      <t xml:space="preserve"> positive GI PCR &gt;100 days post-SCT)</t>
    </r>
  </si>
  <si>
    <t>Chemotherapy + TBI</t>
  </si>
  <si>
    <t>Total body irradiation (TBI)</t>
  </si>
  <si>
    <t xml:space="preserve">Fishers exact test utilized when minimum expected cell count &lt;5. </t>
  </si>
  <si>
    <t>100-400</t>
  </si>
  <si>
    <t>400-700</t>
  </si>
  <si>
    <t>700-1000</t>
  </si>
  <si>
    <t>1000-1300</t>
  </si>
  <si>
    <t>1300-1600</t>
  </si>
  <si>
    <t>1600-1900</t>
  </si>
  <si>
    <t xml:space="preserve">Proposed Time Definition </t>
  </si>
  <si>
    <t>Early Post-Acute Period</t>
  </si>
  <si>
    <t>Middle Post-Acute Period</t>
  </si>
  <si>
    <t>Late Post-Acute Period</t>
  </si>
  <si>
    <t xml:space="preserve">Virus </t>
  </si>
  <si>
    <t xml:space="preserve">Parasite </t>
  </si>
  <si>
    <t xml:space="preserve">Bacteria </t>
  </si>
  <si>
    <t>Full Model</t>
  </si>
  <si>
    <t xml:space="preserve">Adjusted Model </t>
  </si>
  <si>
    <t>Unable</t>
  </si>
  <si>
    <t xml:space="preserve">For this figure, you recommended removing 1800-2400, and adding 100-400. To clarify, you then suggest using 100-400 throughout this figure, correct (see figure in bottom)? If so, then the last two intervals (1300-1600 and 1600-1900) both only have 1 positive result each, so if we remove the last group we should also remove 1300-1600. Because that would then result in the lost of two, not one positive result, I favor the first graph here, but let me know what you think! </t>
  </si>
  <si>
    <t>0.48 (0.26, 0.90)</t>
  </si>
  <si>
    <t>0.45 (0.23, 0.89)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</si>
</sst>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C00000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vertAlign val="superscript"/>
      <sz val="12"/>
      <color theme="1"/>
      <name val="Calibri"/>
      <family val="2"/>
    </font>
    <font>
      <sz val="12"/>
      <color theme="1"/>
      <name val="Aptos Narrow (Body)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 applyAlignment="1">
      <alignment wrapText="1"/>
    </xf>
    <xf numFmtId="0" fontId="0" fillId="0" borderId="0" xfId="0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0" fontId="5" fillId="0" borderId="0" xfId="0" applyFont="1" applyAlignment="1">
      <alignment horizontal="right"/>
    </xf>
    <xf numFmtId="0" fontId="2" fillId="0" borderId="0" xfId="0" applyFont="1"/>
    <xf numFmtId="0" fontId="6" fillId="0" borderId="2" xfId="0" applyFont="1" applyBorder="1"/>
    <xf numFmtId="9" fontId="0" fillId="0" borderId="0" xfId="1" applyFont="1"/>
    <xf numFmtId="0" fontId="5" fillId="0" borderId="0" xfId="0" applyFont="1"/>
    <xf numFmtId="0" fontId="0" fillId="0" borderId="0" xfId="1" applyNumberFormat="1" applyFont="1" applyBorder="1"/>
    <xf numFmtId="0" fontId="2" fillId="0" borderId="0" xfId="1" applyNumberFormat="1" applyFont="1" applyBorder="1"/>
    <xf numFmtId="0" fontId="2" fillId="0" borderId="0" xfId="1" applyNumberFormat="1" applyFont="1" applyFill="1" applyBorder="1"/>
    <xf numFmtId="0" fontId="0" fillId="0" borderId="0" xfId="1" applyNumberFormat="1" applyFont="1" applyFill="1" applyBorder="1"/>
    <xf numFmtId="9" fontId="0" fillId="0" borderId="0" xfId="1" applyFont="1" applyFill="1" applyBorder="1"/>
    <xf numFmtId="0" fontId="5" fillId="0" borderId="0" xfId="1" applyNumberFormat="1" applyFont="1" applyFill="1" applyBorder="1"/>
    <xf numFmtId="0" fontId="4" fillId="0" borderId="0" xfId="0" applyFont="1"/>
    <xf numFmtId="9" fontId="4" fillId="0" borderId="0" xfId="1" applyFont="1"/>
    <xf numFmtId="0" fontId="3" fillId="0" borderId="0" xfId="0" applyFont="1"/>
    <xf numFmtId="0" fontId="0" fillId="0" borderId="0" xfId="0" applyAlignment="1">
      <alignment horizontal="left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2" fontId="0" fillId="0" borderId="0" xfId="0" applyNumberFormat="1"/>
    <xf numFmtId="9" fontId="0" fillId="0" borderId="0" xfId="0" applyNumberFormat="1"/>
    <xf numFmtId="0" fontId="13" fillId="0" borderId="0" xfId="0" applyFont="1"/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 vertical="top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Pathogens Identified in Positive GI PCR Tests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E70-C542-8E4F-504AAD1776E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E70-C542-8E4F-504AAD1776E2}"/>
              </c:ext>
            </c:extLst>
          </c:dPt>
          <c:dPt>
            <c:idx val="2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383-4942-8C60-B136863E0D0D}"/>
              </c:ext>
            </c:extLst>
          </c:dPt>
          <c:dPt>
            <c:idx val="3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383-4942-8C60-B136863E0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E70-C542-8E4F-504AAD1776E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E70-C542-8E4F-504AAD1776E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383-4942-8C60-B136863E0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E70-C542-8E4F-504AAD1776E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E70-C542-8E4F-504AAD1776E2}"/>
              </c:ext>
            </c:extLst>
          </c:dPt>
          <c:dPt>
            <c:idx val="9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383-4942-8C60-B136863E0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EE70-C542-8E4F-504AAD1776E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E84C-3E40-B5FB-63FEBAE4739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'Figure 1'!$D$22:$O$22</c:f>
              <c:strCache>
                <c:ptCount val="11"/>
                <c:pt idx="0">
                  <c:v>E.Coli</c:v>
                </c:pt>
                <c:pt idx="1">
                  <c:v>Norovirus</c:v>
                </c:pt>
                <c:pt idx="2">
                  <c:v>Cryptospordium</c:v>
                </c:pt>
                <c:pt idx="3">
                  <c:v>C.Difficile</c:v>
                </c:pt>
                <c:pt idx="4">
                  <c:v>Giardia</c:v>
                </c:pt>
                <c:pt idx="5">
                  <c:v>Rotavirus</c:v>
                </c:pt>
                <c:pt idx="6">
                  <c:v>Yersnia</c:v>
                </c:pt>
                <c:pt idx="7">
                  <c:v>Salmonella</c:v>
                </c:pt>
                <c:pt idx="8">
                  <c:v>Adenovirus</c:v>
                </c:pt>
                <c:pt idx="9">
                  <c:v>Sapovirus</c:v>
                </c:pt>
                <c:pt idx="10">
                  <c:v>Other</c:v>
                </c:pt>
              </c:strCache>
            </c:strRef>
          </c:cat>
          <c:val>
            <c:numRef>
              <c:f>'Figure 1'!$D$23:$O$23</c:f>
              <c:numCache>
                <c:formatCode>0%</c:formatCode>
                <c:ptCount val="12"/>
                <c:pt idx="0">
                  <c:v>0.36170212765957449</c:v>
                </c:pt>
                <c:pt idx="1">
                  <c:v>0.21</c:v>
                </c:pt>
                <c:pt idx="2">
                  <c:v>0.1276595744680851</c:v>
                </c:pt>
                <c:pt idx="3">
                  <c:v>0.09</c:v>
                </c:pt>
                <c:pt idx="4">
                  <c:v>4.2553191489361701E-2</c:v>
                </c:pt>
                <c:pt idx="5">
                  <c:v>4.2553191489361701E-2</c:v>
                </c:pt>
                <c:pt idx="6">
                  <c:v>4.2553191489361701E-2</c:v>
                </c:pt>
                <c:pt idx="7">
                  <c:v>2.1276595744680851E-2</c:v>
                </c:pt>
                <c:pt idx="8">
                  <c:v>2.1276595744680851E-2</c:v>
                </c:pt>
                <c:pt idx="9">
                  <c:v>2.1276595744680851E-2</c:v>
                </c:pt>
                <c:pt idx="10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83-4942-8C60-B136863E0D0D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EE70-C542-8E4F-504AAD1776E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EE70-C542-8E4F-504AAD1776E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EE70-C542-8E4F-504AAD1776E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EE70-C542-8E4F-504AAD1776E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EE70-C542-8E4F-504AAD1776E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EE70-C542-8E4F-504AAD1776E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EE70-C542-8E4F-504AAD1776E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EE70-C542-8E4F-504AAD1776E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EE70-C542-8E4F-504AAD1776E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EE70-C542-8E4F-504AAD1776E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EE70-C542-8E4F-504AAD1776E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E84C-3E40-B5FB-63FEBAE4739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'Figure 1'!$D$22:$O$22</c:f>
              <c:strCache>
                <c:ptCount val="11"/>
                <c:pt idx="0">
                  <c:v>E.Coli</c:v>
                </c:pt>
                <c:pt idx="1">
                  <c:v>Norovirus</c:v>
                </c:pt>
                <c:pt idx="2">
                  <c:v>Cryptospordium</c:v>
                </c:pt>
                <c:pt idx="3">
                  <c:v>C.Difficile</c:v>
                </c:pt>
                <c:pt idx="4">
                  <c:v>Giardia</c:v>
                </c:pt>
                <c:pt idx="5">
                  <c:v>Rotavirus</c:v>
                </c:pt>
                <c:pt idx="6">
                  <c:v>Yersnia</c:v>
                </c:pt>
                <c:pt idx="7">
                  <c:v>Salmonella</c:v>
                </c:pt>
                <c:pt idx="8">
                  <c:v>Adenovirus</c:v>
                </c:pt>
                <c:pt idx="9">
                  <c:v>Sapovirus</c:v>
                </c:pt>
                <c:pt idx="10">
                  <c:v>Other</c:v>
                </c:pt>
              </c:strCache>
            </c:strRef>
          </c:cat>
          <c:val>
            <c:numRef>
              <c:f>'Figure 1'!$D$24:$O$24</c:f>
              <c:numCache>
                <c:formatCode>0%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A383-4942-8C60-B136863E0D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</a:rPr>
              <a:t>Trajectory of GI PCR Results Over Time Stratified by Pathogen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'Figure 2'!$G$42</c:f>
              <c:strCache>
                <c:ptCount val="1"/>
                <c:pt idx="0">
                  <c:v>Bacteria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'Figure 2'!$F$43:$F$48</c:f>
              <c:strCache>
                <c:ptCount val="6"/>
                <c:pt idx="0">
                  <c:v>100-400</c:v>
                </c:pt>
                <c:pt idx="1">
                  <c:v>400-700</c:v>
                </c:pt>
                <c:pt idx="2">
                  <c:v>700-1000</c:v>
                </c:pt>
                <c:pt idx="3">
                  <c:v>1000-1300</c:v>
                </c:pt>
                <c:pt idx="4">
                  <c:v>1300-1600</c:v>
                </c:pt>
                <c:pt idx="5">
                  <c:v>1600-1900</c:v>
                </c:pt>
              </c:strCache>
            </c:strRef>
          </c:cat>
          <c:val>
            <c:numRef>
              <c:f>'Figure 2'!$G$43:$G$48</c:f>
              <c:numCache>
                <c:formatCode>0%</c:formatCode>
                <c:ptCount val="6"/>
                <c:pt idx="0">
                  <c:v>0.47826086956521741</c:v>
                </c:pt>
                <c:pt idx="1">
                  <c:v>0.2608695652173913</c:v>
                </c:pt>
                <c:pt idx="2">
                  <c:v>0.17391304347826086</c:v>
                </c:pt>
                <c:pt idx="3">
                  <c:v>0</c:v>
                </c:pt>
                <c:pt idx="4">
                  <c:v>4.3478260869565216E-2</c:v>
                </c:pt>
                <c:pt idx="5">
                  <c:v>4.3478260869565216E-2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C4-784E-BD36-0B503346CB82}"/>
            </c:ext>
          </c:extLst>
        </c:ser>
        <c:ser>
          <c:idx val="1"/>
          <c:order val="1"/>
          <c:tx>
            <c:strRef>
              <c:f>'Figure 2'!$H$42</c:f>
              <c:strCache>
                <c:ptCount val="1"/>
                <c:pt idx="0">
                  <c:v>Virus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'Figure 2'!$F$43:$F$48</c:f>
              <c:strCache>
                <c:ptCount val="6"/>
                <c:pt idx="0">
                  <c:v>100-400</c:v>
                </c:pt>
                <c:pt idx="1">
                  <c:v>400-700</c:v>
                </c:pt>
                <c:pt idx="2">
                  <c:v>700-1000</c:v>
                </c:pt>
                <c:pt idx="3">
                  <c:v>1000-1300</c:v>
                </c:pt>
                <c:pt idx="4">
                  <c:v>1300-1600</c:v>
                </c:pt>
                <c:pt idx="5">
                  <c:v>1600-1900</c:v>
                </c:pt>
              </c:strCache>
            </c:strRef>
          </c:cat>
          <c:val>
            <c:numRef>
              <c:f>'Figure 2'!$H$43:$H$48</c:f>
              <c:numCache>
                <c:formatCode>0%</c:formatCode>
                <c:ptCount val="6"/>
                <c:pt idx="0">
                  <c:v>0.5714285714285714</c:v>
                </c:pt>
                <c:pt idx="1">
                  <c:v>0.21428571428571427</c:v>
                </c:pt>
                <c:pt idx="2">
                  <c:v>7.1428571428571425E-2</c:v>
                </c:pt>
                <c:pt idx="3">
                  <c:v>0.14285714285714285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C4-784E-BD36-0B503346CB82}"/>
            </c:ext>
          </c:extLst>
        </c:ser>
        <c:ser>
          <c:idx val="2"/>
          <c:order val="2"/>
          <c:tx>
            <c:strRef>
              <c:f>'Figure 2'!$I$42</c:f>
              <c:strCache>
                <c:ptCount val="1"/>
                <c:pt idx="0">
                  <c:v>Parasite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'Figure 2'!$F$43:$F$48</c:f>
              <c:strCache>
                <c:ptCount val="6"/>
                <c:pt idx="0">
                  <c:v>100-400</c:v>
                </c:pt>
                <c:pt idx="1">
                  <c:v>400-700</c:v>
                </c:pt>
                <c:pt idx="2">
                  <c:v>700-1000</c:v>
                </c:pt>
                <c:pt idx="3">
                  <c:v>1000-1300</c:v>
                </c:pt>
                <c:pt idx="4">
                  <c:v>1300-1600</c:v>
                </c:pt>
                <c:pt idx="5">
                  <c:v>1600-1900</c:v>
                </c:pt>
              </c:strCache>
            </c:strRef>
          </c:cat>
          <c:val>
            <c:numRef>
              <c:f>'Figure 2'!$I$43:$I$48</c:f>
              <c:numCache>
                <c:formatCode>0%</c:formatCode>
                <c:ptCount val="6"/>
                <c:pt idx="0">
                  <c:v>0.75</c:v>
                </c:pt>
                <c:pt idx="1">
                  <c:v>0.125</c:v>
                </c:pt>
                <c:pt idx="2">
                  <c:v>0.125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C4-784E-BD36-0B503346C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5270176"/>
        <c:axId val="242519360"/>
      </c:lineChart>
      <c:catAx>
        <c:axId val="7352701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Days from Stem Cell Transplant to Initial</a:t>
                </a:r>
                <a:r>
                  <a:rPr lang="en-US" baseline="0"/>
                  <a:t> Positive GI-PCR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519360"/>
        <c:crosses val="autoZero"/>
        <c:auto val="1"/>
        <c:lblAlgn val="ctr"/>
        <c:lblOffset val="100"/>
        <c:noMultiLvlLbl val="0"/>
      </c:catAx>
      <c:valAx>
        <c:axId val="24251936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Pathogen Within</a:t>
                </a:r>
                <a:r>
                  <a:rPr lang="en-US" baseline="0"/>
                  <a:t> Time Interval </a:t>
                </a:r>
                <a:r>
                  <a:rPr lang="en-US" i="1" baseline="0"/>
                  <a:t>(ex: within the 100-400 days time interval, there were 6 parasite  positive GI-PCR results out of 8 total parasite-positive GI PCR )</a:t>
                </a:r>
                <a:endParaRPr lang="en-US" i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270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Temporal Comparison of Specific Pathogens Identified in GI PCR Tests</a:t>
            </a:r>
          </a:p>
        </c:rich>
      </c:tx>
      <c:layout>
        <c:manualLayout>
          <c:xMode val="edge"/>
          <c:yMode val="edge"/>
          <c:x val="0.23767582246432875"/>
          <c:y val="3.07517139439517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3'!$F$23</c:f>
              <c:strCache>
                <c:ptCount val="1"/>
                <c:pt idx="0">
                  <c:v>E.Coli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'Figure 3'!$E$24:$E$30</c:f>
              <c:strCache>
                <c:ptCount val="6"/>
                <c:pt idx="0">
                  <c:v>100-400</c:v>
                </c:pt>
                <c:pt idx="1">
                  <c:v>400-700</c:v>
                </c:pt>
                <c:pt idx="2">
                  <c:v>700-1000</c:v>
                </c:pt>
                <c:pt idx="3">
                  <c:v>1000-1300</c:v>
                </c:pt>
                <c:pt idx="4">
                  <c:v>1300-1600</c:v>
                </c:pt>
                <c:pt idx="5">
                  <c:v>1600-1900</c:v>
                </c:pt>
              </c:strCache>
            </c:strRef>
          </c:cat>
          <c:val>
            <c:numRef>
              <c:f>'Figure 3'!$F$24:$F$30</c:f>
              <c:numCache>
                <c:formatCode>General</c:formatCode>
                <c:ptCount val="7"/>
                <c:pt idx="0">
                  <c:v>9</c:v>
                </c:pt>
                <c:pt idx="1">
                  <c:v>4</c:v>
                </c:pt>
                <c:pt idx="2">
                  <c:v>2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BB-FC4E-908E-51006472C095}"/>
            </c:ext>
          </c:extLst>
        </c:ser>
        <c:ser>
          <c:idx val="1"/>
          <c:order val="1"/>
          <c:tx>
            <c:strRef>
              <c:f>'Figure 3'!$G$23</c:f>
              <c:strCache>
                <c:ptCount val="1"/>
                <c:pt idx="0">
                  <c:v>Norovirus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'Figure 3'!$E$24:$E$30</c:f>
              <c:strCache>
                <c:ptCount val="6"/>
                <c:pt idx="0">
                  <c:v>100-400</c:v>
                </c:pt>
                <c:pt idx="1">
                  <c:v>400-700</c:v>
                </c:pt>
                <c:pt idx="2">
                  <c:v>700-1000</c:v>
                </c:pt>
                <c:pt idx="3">
                  <c:v>1000-1300</c:v>
                </c:pt>
                <c:pt idx="4">
                  <c:v>1300-1600</c:v>
                </c:pt>
                <c:pt idx="5">
                  <c:v>1600-1900</c:v>
                </c:pt>
              </c:strCache>
            </c:strRef>
          </c:cat>
          <c:val>
            <c:numRef>
              <c:f>'Figure 3'!$G$24:$G$30</c:f>
              <c:numCache>
                <c:formatCode>General</c:formatCode>
                <c:ptCount val="7"/>
                <c:pt idx="0">
                  <c:v>5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BB-FC4E-908E-51006472C095}"/>
            </c:ext>
          </c:extLst>
        </c:ser>
        <c:ser>
          <c:idx val="2"/>
          <c:order val="2"/>
          <c:tx>
            <c:strRef>
              <c:f>'Figure 3'!$H$23</c:f>
              <c:strCache>
                <c:ptCount val="1"/>
                <c:pt idx="0">
                  <c:v>Cryptospordium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'Figure 3'!$E$24:$E$30</c:f>
              <c:strCache>
                <c:ptCount val="6"/>
                <c:pt idx="0">
                  <c:v>100-400</c:v>
                </c:pt>
                <c:pt idx="1">
                  <c:v>400-700</c:v>
                </c:pt>
                <c:pt idx="2">
                  <c:v>700-1000</c:v>
                </c:pt>
                <c:pt idx="3">
                  <c:v>1000-1300</c:v>
                </c:pt>
                <c:pt idx="4">
                  <c:v>1300-1600</c:v>
                </c:pt>
                <c:pt idx="5">
                  <c:v>1600-1900</c:v>
                </c:pt>
              </c:strCache>
            </c:strRef>
          </c:cat>
          <c:val>
            <c:numRef>
              <c:f>'Figure 3'!$H$24:$H$30</c:f>
              <c:numCache>
                <c:formatCode>General</c:formatCode>
                <c:ptCount val="7"/>
                <c:pt idx="0">
                  <c:v>5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BB-FC4E-908E-51006472C095}"/>
            </c:ext>
          </c:extLst>
        </c:ser>
        <c:ser>
          <c:idx val="3"/>
          <c:order val="3"/>
          <c:tx>
            <c:strRef>
              <c:f>'Figure 3'!$I$23</c:f>
              <c:strCache>
                <c:ptCount val="1"/>
                <c:pt idx="0">
                  <c:v>C.Difficile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'Figure 3'!$E$24:$E$30</c:f>
              <c:strCache>
                <c:ptCount val="6"/>
                <c:pt idx="0">
                  <c:v>100-400</c:v>
                </c:pt>
                <c:pt idx="1">
                  <c:v>400-700</c:v>
                </c:pt>
                <c:pt idx="2">
                  <c:v>700-1000</c:v>
                </c:pt>
                <c:pt idx="3">
                  <c:v>1000-1300</c:v>
                </c:pt>
                <c:pt idx="4">
                  <c:v>1300-1600</c:v>
                </c:pt>
                <c:pt idx="5">
                  <c:v>1600-1900</c:v>
                </c:pt>
              </c:strCache>
            </c:strRef>
          </c:cat>
          <c:val>
            <c:numRef>
              <c:f>'Figure 3'!$I$24:$I$30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BB-FC4E-908E-51006472C095}"/>
            </c:ext>
          </c:extLst>
        </c:ser>
        <c:ser>
          <c:idx val="4"/>
          <c:order val="4"/>
          <c:tx>
            <c:strRef>
              <c:f>'Figure 3'!$J$23</c:f>
              <c:strCache>
                <c:ptCount val="1"/>
                <c:pt idx="0">
                  <c:v>Giardia</c:v>
                </c:pt>
              </c:strCache>
            </c:strRef>
          </c:tx>
          <c:spPr>
            <a:solidFill>
              <a:schemeClr val="accent5"/>
            </a:solidFill>
            <a:ln w="38100">
              <a:noFill/>
            </a:ln>
            <a:effectLst/>
          </c:spPr>
          <c:invertIfNegative val="0"/>
          <c:cat>
            <c:strRef>
              <c:f>'Figure 3'!$E$24:$E$30</c:f>
              <c:strCache>
                <c:ptCount val="6"/>
                <c:pt idx="0">
                  <c:v>100-400</c:v>
                </c:pt>
                <c:pt idx="1">
                  <c:v>400-700</c:v>
                </c:pt>
                <c:pt idx="2">
                  <c:v>700-1000</c:v>
                </c:pt>
                <c:pt idx="3">
                  <c:v>1000-1300</c:v>
                </c:pt>
                <c:pt idx="4">
                  <c:v>1300-1600</c:v>
                </c:pt>
                <c:pt idx="5">
                  <c:v>1600-1900</c:v>
                </c:pt>
              </c:strCache>
            </c:strRef>
          </c:cat>
          <c:val>
            <c:numRef>
              <c:f>'Figure 3'!$J$24:$J$30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BB-FC4E-908E-51006472C095}"/>
            </c:ext>
          </c:extLst>
        </c:ser>
        <c:ser>
          <c:idx val="5"/>
          <c:order val="5"/>
          <c:tx>
            <c:strRef>
              <c:f>'Figure 3'!$K$23</c:f>
              <c:strCache>
                <c:ptCount val="1"/>
                <c:pt idx="0">
                  <c:v>Rotavirus</c:v>
                </c:pt>
              </c:strCache>
            </c:strRef>
          </c:tx>
          <c:spPr>
            <a:solidFill>
              <a:schemeClr val="accent6"/>
            </a:solidFill>
            <a:ln w="38100">
              <a:noFill/>
            </a:ln>
            <a:effectLst/>
          </c:spPr>
          <c:invertIfNegative val="0"/>
          <c:cat>
            <c:strRef>
              <c:f>'Figure 3'!$E$24:$E$30</c:f>
              <c:strCache>
                <c:ptCount val="6"/>
                <c:pt idx="0">
                  <c:v>100-400</c:v>
                </c:pt>
                <c:pt idx="1">
                  <c:v>400-700</c:v>
                </c:pt>
                <c:pt idx="2">
                  <c:v>700-1000</c:v>
                </c:pt>
                <c:pt idx="3">
                  <c:v>1000-1300</c:v>
                </c:pt>
                <c:pt idx="4">
                  <c:v>1300-1600</c:v>
                </c:pt>
                <c:pt idx="5">
                  <c:v>1600-1900</c:v>
                </c:pt>
              </c:strCache>
            </c:strRef>
          </c:cat>
          <c:val>
            <c:numRef>
              <c:f>'Figure 3'!$K$24:$K$30</c:f>
              <c:numCache>
                <c:formatCode>General</c:formatCode>
                <c:ptCount val="7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EBB-FC4E-908E-51006472C095}"/>
            </c:ext>
          </c:extLst>
        </c:ser>
        <c:ser>
          <c:idx val="6"/>
          <c:order val="6"/>
          <c:tx>
            <c:strRef>
              <c:f>'Figure 3'!$L$23</c:f>
              <c:strCache>
                <c:ptCount val="1"/>
                <c:pt idx="0">
                  <c:v>Yersina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3'!$E$24:$E$30</c:f>
              <c:strCache>
                <c:ptCount val="6"/>
                <c:pt idx="0">
                  <c:v>100-400</c:v>
                </c:pt>
                <c:pt idx="1">
                  <c:v>400-700</c:v>
                </c:pt>
                <c:pt idx="2">
                  <c:v>700-1000</c:v>
                </c:pt>
                <c:pt idx="3">
                  <c:v>1000-1300</c:v>
                </c:pt>
                <c:pt idx="4">
                  <c:v>1300-1600</c:v>
                </c:pt>
                <c:pt idx="5">
                  <c:v>1600-1900</c:v>
                </c:pt>
              </c:strCache>
            </c:strRef>
          </c:cat>
          <c:val>
            <c:numRef>
              <c:f>'Figure 3'!$L$24:$L$30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EBB-FC4E-908E-51006472C095}"/>
            </c:ext>
          </c:extLst>
        </c:ser>
        <c:ser>
          <c:idx val="7"/>
          <c:order val="7"/>
          <c:tx>
            <c:strRef>
              <c:f>'Figure 3'!$M$23</c:f>
              <c:strCache>
                <c:ptCount val="1"/>
                <c:pt idx="0">
                  <c:v>Salmonella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 w="38100">
              <a:noFill/>
            </a:ln>
            <a:effectLst/>
          </c:spPr>
          <c:invertIfNegative val="0"/>
          <c:cat>
            <c:strRef>
              <c:f>'Figure 3'!$E$24:$E$30</c:f>
              <c:strCache>
                <c:ptCount val="6"/>
                <c:pt idx="0">
                  <c:v>100-400</c:v>
                </c:pt>
                <c:pt idx="1">
                  <c:v>400-700</c:v>
                </c:pt>
                <c:pt idx="2">
                  <c:v>700-1000</c:v>
                </c:pt>
                <c:pt idx="3">
                  <c:v>1000-1300</c:v>
                </c:pt>
                <c:pt idx="4">
                  <c:v>1300-1600</c:v>
                </c:pt>
                <c:pt idx="5">
                  <c:v>1600-1900</c:v>
                </c:pt>
              </c:strCache>
            </c:strRef>
          </c:cat>
          <c:val>
            <c:numRef>
              <c:f>'Figure 3'!$M$24:$M$30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EBB-FC4E-908E-51006472C095}"/>
            </c:ext>
          </c:extLst>
        </c:ser>
        <c:ser>
          <c:idx val="8"/>
          <c:order val="8"/>
          <c:tx>
            <c:strRef>
              <c:f>'Figure 3'!$N$23</c:f>
              <c:strCache>
                <c:ptCount val="1"/>
                <c:pt idx="0">
                  <c:v>Adenovirus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 w="38100">
              <a:noFill/>
            </a:ln>
            <a:effectLst/>
          </c:spPr>
          <c:invertIfNegative val="0"/>
          <c:cat>
            <c:strRef>
              <c:f>'Figure 3'!$E$24:$E$30</c:f>
              <c:strCache>
                <c:ptCount val="6"/>
                <c:pt idx="0">
                  <c:v>100-400</c:v>
                </c:pt>
                <c:pt idx="1">
                  <c:v>400-700</c:v>
                </c:pt>
                <c:pt idx="2">
                  <c:v>700-1000</c:v>
                </c:pt>
                <c:pt idx="3">
                  <c:v>1000-1300</c:v>
                </c:pt>
                <c:pt idx="4">
                  <c:v>1300-1600</c:v>
                </c:pt>
                <c:pt idx="5">
                  <c:v>1600-1900</c:v>
                </c:pt>
              </c:strCache>
            </c:strRef>
          </c:cat>
          <c:val>
            <c:numRef>
              <c:f>'Figure 3'!$N$24:$N$30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EBB-FC4E-908E-51006472C095}"/>
            </c:ext>
          </c:extLst>
        </c:ser>
        <c:ser>
          <c:idx val="9"/>
          <c:order val="9"/>
          <c:tx>
            <c:strRef>
              <c:f>'Figure 3'!$O$23</c:f>
              <c:strCache>
                <c:ptCount val="1"/>
                <c:pt idx="0">
                  <c:v>Sapovirus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3'!$E$24:$E$30</c:f>
              <c:strCache>
                <c:ptCount val="6"/>
                <c:pt idx="0">
                  <c:v>100-400</c:v>
                </c:pt>
                <c:pt idx="1">
                  <c:v>400-700</c:v>
                </c:pt>
                <c:pt idx="2">
                  <c:v>700-1000</c:v>
                </c:pt>
                <c:pt idx="3">
                  <c:v>1000-1300</c:v>
                </c:pt>
                <c:pt idx="4">
                  <c:v>1300-1600</c:v>
                </c:pt>
                <c:pt idx="5">
                  <c:v>1600-1900</c:v>
                </c:pt>
              </c:strCache>
            </c:strRef>
          </c:cat>
          <c:val>
            <c:numRef>
              <c:f>'Figure 3'!$O$24:$O$30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EBB-FC4E-908E-51006472C095}"/>
            </c:ext>
          </c:extLst>
        </c:ser>
        <c:ser>
          <c:idx val="10"/>
          <c:order val="10"/>
          <c:tx>
            <c:strRef>
              <c:f>'Figure 3'!$P$23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 w="38100">
              <a:noFill/>
            </a:ln>
            <a:effectLst/>
          </c:spPr>
          <c:invertIfNegative val="0"/>
          <c:cat>
            <c:strRef>
              <c:f>'Figure 3'!$E$24:$E$30</c:f>
              <c:strCache>
                <c:ptCount val="6"/>
                <c:pt idx="0">
                  <c:v>100-400</c:v>
                </c:pt>
                <c:pt idx="1">
                  <c:v>400-700</c:v>
                </c:pt>
                <c:pt idx="2">
                  <c:v>700-1000</c:v>
                </c:pt>
                <c:pt idx="3">
                  <c:v>1000-1300</c:v>
                </c:pt>
                <c:pt idx="4">
                  <c:v>1300-1600</c:v>
                </c:pt>
                <c:pt idx="5">
                  <c:v>1600-1900</c:v>
                </c:pt>
              </c:strCache>
            </c:strRef>
          </c:cat>
          <c:val>
            <c:numRef>
              <c:f>'Figure 3'!$P$24:$P$30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EBB-FC4E-908E-51006472C0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4960496"/>
        <c:axId val="1895088880"/>
      </c:barChart>
      <c:catAx>
        <c:axId val="1894960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Days from Stem Cell Transplant to Initial Positive GI-PCR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en-US"/>
              </a:p>
            </c:rich>
          </c:tx>
          <c:layout>
            <c:manualLayout>
              <c:xMode val="edge"/>
              <c:yMode val="edge"/>
              <c:x val="0.34146258073627017"/>
              <c:y val="0.882460115592006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088880"/>
        <c:crosses val="autoZero"/>
        <c:auto val="1"/>
        <c:lblAlgn val="ctr"/>
        <c:lblOffset val="100"/>
        <c:noMultiLvlLbl val="0"/>
      </c:catAx>
      <c:valAx>
        <c:axId val="189508888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Specific Pathogen Type Identified in GI-PCR Test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648007698875506"/>
              <c:y val="8.307944853745412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96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Count Comparision of Bacteria-, Virus-, and Parasite- Positive GI PCR Results Across Time </a:t>
            </a:r>
          </a:p>
        </c:rich>
      </c:tx>
      <c:layout>
        <c:manualLayout>
          <c:xMode val="edge"/>
          <c:yMode val="edge"/>
          <c:x val="0.17181810646874879"/>
          <c:y val="3.73443983402489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'Figure 4'!$B$17</c:f>
              <c:strCache>
                <c:ptCount val="1"/>
                <c:pt idx="0">
                  <c:v>Bacteria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'Figure 4'!$A$18:$A$21</c:f>
              <c:strCache>
                <c:ptCount val="4"/>
                <c:pt idx="0">
                  <c:v>100-600</c:v>
                </c:pt>
                <c:pt idx="1">
                  <c:v>600-1200</c:v>
                </c:pt>
                <c:pt idx="2">
                  <c:v>1200-1800</c:v>
                </c:pt>
                <c:pt idx="3">
                  <c:v>1800-2400</c:v>
                </c:pt>
              </c:strCache>
            </c:strRef>
          </c:cat>
          <c:val>
            <c:numRef>
              <c:f>'Figure 4'!$B$18:$B$21</c:f>
              <c:numCache>
                <c:formatCode>General</c:formatCode>
                <c:ptCount val="4"/>
                <c:pt idx="0">
                  <c:v>18</c:v>
                </c:pt>
                <c:pt idx="1">
                  <c:v>5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80-5E42-AE24-BAB4B43DA4CB}"/>
            </c:ext>
          </c:extLst>
        </c:ser>
        <c:ser>
          <c:idx val="1"/>
          <c:order val="1"/>
          <c:tx>
            <c:strRef>
              <c:f>'Figure 4'!$C$17</c:f>
              <c:strCache>
                <c:ptCount val="1"/>
                <c:pt idx="0">
                  <c:v>Virus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'Figure 4'!$A$18:$A$21</c:f>
              <c:strCache>
                <c:ptCount val="4"/>
                <c:pt idx="0">
                  <c:v>100-600</c:v>
                </c:pt>
                <c:pt idx="1">
                  <c:v>600-1200</c:v>
                </c:pt>
                <c:pt idx="2">
                  <c:v>1200-1800</c:v>
                </c:pt>
                <c:pt idx="3">
                  <c:v>1800-2400</c:v>
                </c:pt>
              </c:strCache>
            </c:strRef>
          </c:cat>
          <c:val>
            <c:numRef>
              <c:f>'Figure 4'!$C$18:$C$21</c:f>
              <c:numCache>
                <c:formatCode>General</c:formatCode>
                <c:ptCount val="4"/>
                <c:pt idx="0">
                  <c:v>10</c:v>
                </c:pt>
                <c:pt idx="1">
                  <c:v>3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80-5E42-AE24-BAB4B43DA4CB}"/>
            </c:ext>
          </c:extLst>
        </c:ser>
        <c:ser>
          <c:idx val="2"/>
          <c:order val="2"/>
          <c:tx>
            <c:strRef>
              <c:f>'Figure 4'!$D$17</c:f>
              <c:strCache>
                <c:ptCount val="1"/>
                <c:pt idx="0">
                  <c:v>Parasite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'Figure 4'!$A$18:$A$21</c:f>
              <c:strCache>
                <c:ptCount val="4"/>
                <c:pt idx="0">
                  <c:v>100-600</c:v>
                </c:pt>
                <c:pt idx="1">
                  <c:v>600-1200</c:v>
                </c:pt>
                <c:pt idx="2">
                  <c:v>1200-1800</c:v>
                </c:pt>
                <c:pt idx="3">
                  <c:v>1800-2400</c:v>
                </c:pt>
              </c:strCache>
            </c:strRef>
          </c:cat>
          <c:val>
            <c:numRef>
              <c:f>'Figure 4'!$D$18:$D$21</c:f>
              <c:numCache>
                <c:formatCode>General</c:formatCode>
                <c:ptCount val="4"/>
                <c:pt idx="0">
                  <c:v>7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80-5E42-AE24-BAB4B43DA4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590080"/>
        <c:axId val="2094702288"/>
      </c:barChart>
      <c:catAx>
        <c:axId val="2094590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Days from Stem Cell</a:t>
                </a:r>
                <a:r>
                  <a:rPr lang="en-US" baseline="0"/>
                  <a:t> Transplant to Initial Positive GI-PCR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702288"/>
        <c:crosses val="autoZero"/>
        <c:auto val="1"/>
        <c:lblAlgn val="ctr"/>
        <c:lblOffset val="100"/>
        <c:noMultiLvlLbl val="0"/>
      </c:catAx>
      <c:valAx>
        <c:axId val="20947022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</a:t>
                </a:r>
                <a:r>
                  <a:rPr lang="en-US" baseline="0"/>
                  <a:t> of Bacteria, Virus, or Parasite-Positive GI PCR Results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7224880382775119E-2"/>
              <c:y val="4.634854771784233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590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3258546509437518"/>
          <c:y val="0.88433560950109447"/>
          <c:w val="0.23311831030195634"/>
          <c:h val="6.2732781078945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Temporal</a:t>
            </a:r>
            <a:r>
              <a:rPr lang="en-US" baseline="0"/>
              <a:t> Comparison of Positive GI-PCR Results Stratified by Pathogen Type</a:t>
            </a:r>
            <a:endParaRPr lang="en-US"/>
          </a:p>
        </c:rich>
      </c:tx>
      <c:layout>
        <c:manualLayout>
          <c:xMode val="edge"/>
          <c:yMode val="edge"/>
          <c:x val="0.17134012522700023"/>
          <c:y val="2.15053763440860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'Figure 4'!$B$24</c:f>
              <c:strCache>
                <c:ptCount val="1"/>
                <c:pt idx="0">
                  <c:v>Bacteria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'Figure 4'!$A$25:$A$28</c:f>
              <c:strCache>
                <c:ptCount val="4"/>
                <c:pt idx="0">
                  <c:v>100-600</c:v>
                </c:pt>
                <c:pt idx="1">
                  <c:v>600-1200</c:v>
                </c:pt>
                <c:pt idx="2">
                  <c:v>1200-1800</c:v>
                </c:pt>
                <c:pt idx="3">
                  <c:v>1800-2400</c:v>
                </c:pt>
              </c:strCache>
            </c:strRef>
          </c:cat>
          <c:val>
            <c:numRef>
              <c:f>'Figure 4'!$B$25:$B$28</c:f>
              <c:numCache>
                <c:formatCode>0%</c:formatCode>
                <c:ptCount val="4"/>
                <c:pt idx="0">
                  <c:v>0.51428571428571423</c:v>
                </c:pt>
                <c:pt idx="1">
                  <c:v>0.55555555555555558</c:v>
                </c:pt>
                <c:pt idx="2">
                  <c:v>0.5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75-D545-BE68-467882CE261D}"/>
            </c:ext>
          </c:extLst>
        </c:ser>
        <c:ser>
          <c:idx val="1"/>
          <c:order val="1"/>
          <c:tx>
            <c:strRef>
              <c:f>'Figure 4'!$C$24</c:f>
              <c:strCache>
                <c:ptCount val="1"/>
                <c:pt idx="0">
                  <c:v>Virus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'Figure 4'!$A$25:$A$28</c:f>
              <c:strCache>
                <c:ptCount val="4"/>
                <c:pt idx="0">
                  <c:v>100-600</c:v>
                </c:pt>
                <c:pt idx="1">
                  <c:v>600-1200</c:v>
                </c:pt>
                <c:pt idx="2">
                  <c:v>1200-1800</c:v>
                </c:pt>
                <c:pt idx="3">
                  <c:v>1800-2400</c:v>
                </c:pt>
              </c:strCache>
            </c:strRef>
          </c:cat>
          <c:val>
            <c:numRef>
              <c:f>'Figure 4'!$C$25:$C$28</c:f>
              <c:numCache>
                <c:formatCode>0%</c:formatCode>
                <c:ptCount val="4"/>
                <c:pt idx="0">
                  <c:v>0.2857142857142857</c:v>
                </c:pt>
                <c:pt idx="1">
                  <c:v>0.33333333333333331</c:v>
                </c:pt>
                <c:pt idx="2">
                  <c:v>0.5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75-D545-BE68-467882CE261D}"/>
            </c:ext>
          </c:extLst>
        </c:ser>
        <c:ser>
          <c:idx val="2"/>
          <c:order val="2"/>
          <c:tx>
            <c:strRef>
              <c:f>'Figure 4'!$D$24</c:f>
              <c:strCache>
                <c:ptCount val="1"/>
                <c:pt idx="0">
                  <c:v>Parasite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'Figure 4'!$A$25:$A$28</c:f>
              <c:strCache>
                <c:ptCount val="4"/>
                <c:pt idx="0">
                  <c:v>100-600</c:v>
                </c:pt>
                <c:pt idx="1">
                  <c:v>600-1200</c:v>
                </c:pt>
                <c:pt idx="2">
                  <c:v>1200-1800</c:v>
                </c:pt>
                <c:pt idx="3">
                  <c:v>1800-2400</c:v>
                </c:pt>
              </c:strCache>
            </c:strRef>
          </c:cat>
          <c:val>
            <c:numRef>
              <c:f>'Figure 4'!$D$25:$D$28</c:f>
              <c:numCache>
                <c:formatCode>0%</c:formatCode>
                <c:ptCount val="4"/>
                <c:pt idx="0">
                  <c:v>0.2</c:v>
                </c:pt>
                <c:pt idx="1">
                  <c:v>0.1111111111111111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75-D545-BE68-467882CE26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19225839"/>
        <c:axId val="419227551"/>
      </c:barChart>
      <c:catAx>
        <c:axId val="419225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Days from Stem Cell Transplant to Initial Positive GI-PCR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227551"/>
        <c:crosses val="autoZero"/>
        <c:auto val="1"/>
        <c:lblAlgn val="ctr"/>
        <c:lblOffset val="100"/>
        <c:noMultiLvlLbl val="0"/>
      </c:catAx>
      <c:valAx>
        <c:axId val="41922755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Bacteria-,</a:t>
                </a:r>
                <a:r>
                  <a:rPr lang="en-US" baseline="0"/>
                  <a:t>  Virus- , and Parasite-Positive GI PCR Results </a:t>
                </a:r>
                <a:r>
                  <a:rPr lang="en-US" i="1" baseline="0"/>
                  <a:t>(ex: within 100-600 days from SCT, the number of bacteria-positive GI PCR results (n=18) out of the ttoal number of positive-GI PCR results within same time period (n=35))</a:t>
                </a:r>
              </a:p>
              <a:p>
                <a:pPr>
                  <a:defRPr/>
                </a:pPr>
                <a:endParaRPr lang="en-US" i="1"/>
              </a:p>
            </c:rich>
          </c:tx>
          <c:layout>
            <c:manualLayout>
              <c:xMode val="edge"/>
              <c:yMode val="edge"/>
              <c:x val="2.6970318738379715E-2"/>
              <c:y val="7.784805125165804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225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5630461996577809"/>
          <c:y val="0.89292072361922514"/>
          <c:w val="0.2287590186578414"/>
          <c:h val="6.04842943019219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Count Comparision of Bacteria-, Virus-, and Parasite- Positive GI PCR Results Across Time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'Figure 4'!$B$39</c:f>
              <c:strCache>
                <c:ptCount val="1"/>
                <c:pt idx="0">
                  <c:v>Bacteria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'Figure 4'!$A$40:$A$45</c:f>
              <c:strCache>
                <c:ptCount val="6"/>
                <c:pt idx="0">
                  <c:v>100-400</c:v>
                </c:pt>
                <c:pt idx="1">
                  <c:v>400-700</c:v>
                </c:pt>
                <c:pt idx="2">
                  <c:v>700-1000</c:v>
                </c:pt>
                <c:pt idx="3">
                  <c:v>1000-1300</c:v>
                </c:pt>
                <c:pt idx="4">
                  <c:v>1300-1600</c:v>
                </c:pt>
                <c:pt idx="5">
                  <c:v>1600-1900</c:v>
                </c:pt>
              </c:strCache>
            </c:strRef>
          </c:cat>
          <c:val>
            <c:numRef>
              <c:f>'Figure 4'!$B$40:$B$45</c:f>
              <c:numCache>
                <c:formatCode>General</c:formatCode>
                <c:ptCount val="6"/>
                <c:pt idx="0">
                  <c:v>0.44</c:v>
                </c:pt>
                <c:pt idx="1">
                  <c:v>0.6</c:v>
                </c:pt>
                <c:pt idx="2">
                  <c:v>0.66666666666666663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78-854D-B428-7372E9E74B0C}"/>
            </c:ext>
          </c:extLst>
        </c:ser>
        <c:ser>
          <c:idx val="1"/>
          <c:order val="1"/>
          <c:tx>
            <c:strRef>
              <c:f>'Figure 4'!$C$39</c:f>
              <c:strCache>
                <c:ptCount val="1"/>
                <c:pt idx="0">
                  <c:v>Virus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'Figure 4'!$A$40:$A$45</c:f>
              <c:strCache>
                <c:ptCount val="6"/>
                <c:pt idx="0">
                  <c:v>100-400</c:v>
                </c:pt>
                <c:pt idx="1">
                  <c:v>400-700</c:v>
                </c:pt>
                <c:pt idx="2">
                  <c:v>700-1000</c:v>
                </c:pt>
                <c:pt idx="3">
                  <c:v>1000-1300</c:v>
                </c:pt>
                <c:pt idx="4">
                  <c:v>1300-1600</c:v>
                </c:pt>
                <c:pt idx="5">
                  <c:v>1600-1900</c:v>
                </c:pt>
              </c:strCache>
            </c:strRef>
          </c:cat>
          <c:val>
            <c:numRef>
              <c:f>'Figure 4'!$C$40:$C$45</c:f>
              <c:numCache>
                <c:formatCode>General</c:formatCode>
                <c:ptCount val="6"/>
                <c:pt idx="0">
                  <c:v>0.32</c:v>
                </c:pt>
                <c:pt idx="1">
                  <c:v>0.3</c:v>
                </c:pt>
                <c:pt idx="2">
                  <c:v>0.16666666666666666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78-854D-B428-7372E9E74B0C}"/>
            </c:ext>
          </c:extLst>
        </c:ser>
        <c:ser>
          <c:idx val="2"/>
          <c:order val="2"/>
          <c:tx>
            <c:strRef>
              <c:f>'Figure 4'!$D$39</c:f>
              <c:strCache>
                <c:ptCount val="1"/>
                <c:pt idx="0">
                  <c:v>Parasite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'Figure 4'!$A$40:$A$45</c:f>
              <c:strCache>
                <c:ptCount val="6"/>
                <c:pt idx="0">
                  <c:v>100-400</c:v>
                </c:pt>
                <c:pt idx="1">
                  <c:v>400-700</c:v>
                </c:pt>
                <c:pt idx="2">
                  <c:v>700-1000</c:v>
                </c:pt>
                <c:pt idx="3">
                  <c:v>1000-1300</c:v>
                </c:pt>
                <c:pt idx="4">
                  <c:v>1300-1600</c:v>
                </c:pt>
                <c:pt idx="5">
                  <c:v>1600-1900</c:v>
                </c:pt>
              </c:strCache>
            </c:strRef>
          </c:cat>
          <c:val>
            <c:numRef>
              <c:f>'Figure 4'!$D$40:$D$45</c:f>
              <c:numCache>
                <c:formatCode>General</c:formatCode>
                <c:ptCount val="6"/>
                <c:pt idx="0">
                  <c:v>0.24</c:v>
                </c:pt>
                <c:pt idx="1">
                  <c:v>0.1</c:v>
                </c:pt>
                <c:pt idx="2">
                  <c:v>0.16666666666666666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78-854D-B428-7372E9E74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53576560"/>
        <c:axId val="353640560"/>
      </c:barChart>
      <c:catAx>
        <c:axId val="353576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Days from Stem Cell Transplant to Initial Positive GI-PCR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640560"/>
        <c:crosses val="autoZero"/>
        <c:auto val="1"/>
        <c:lblAlgn val="ctr"/>
        <c:lblOffset val="100"/>
        <c:noMultiLvlLbl val="0"/>
      </c:catAx>
      <c:valAx>
        <c:axId val="35364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Percentage of Bacteria-,  Virus- , and Parasite-Positive GI PCR Results </a:t>
                </a:r>
                <a:r>
                  <a:rPr lang="en-US" sz="1000" b="0" i="1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(ex: within 100-600 days from SCT, the number of bacteria-positive GI PCR results (n=18) out of the ttoal number of positive-GI PCR results within same time period (n=35))</a:t>
                </a:r>
              </a:p>
            </c:rich>
          </c:tx>
          <c:layout>
            <c:manualLayout>
              <c:xMode val="edge"/>
              <c:yMode val="edge"/>
              <c:x val="1.936619718309859E-2"/>
              <c:y val="0.159546485260770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576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444500</xdr:colOff>
      <xdr:row>26</xdr:row>
      <xdr:rowOff>139700</xdr:rowOff>
    </xdr:from>
    <xdr:to>
      <xdr:col>9</xdr:col>
      <xdr:colOff>63500</xdr:colOff>
      <xdr:row>42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C3E60B-7E9C-3308-94E2-050828ACA1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8</xdr:row>
      <xdr:rowOff>152400</xdr:rowOff>
    </xdr:from>
    <xdr:to>
      <xdr:col>11</xdr:col>
      <xdr:colOff>768350</xdr:colOff>
      <xdr:row>28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0D0295-B183-AE2A-4A15-5AA96A9EE2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33868</xdr:colOff>
      <xdr:row>0</xdr:row>
      <xdr:rowOff>584198</xdr:rowOff>
    </xdr:from>
    <xdr:to>
      <xdr:col>19</xdr:col>
      <xdr:colOff>440266</xdr:colOff>
      <xdr:row>19</xdr:row>
      <xdr:rowOff>118532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765181-F2DC-4549-0F9B-5F210A9B78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101600</xdr:colOff>
      <xdr:row>19</xdr:row>
      <xdr:rowOff>114300</xdr:rowOff>
    </xdr:from>
    <xdr:to>
      <xdr:col>16</xdr:col>
      <xdr:colOff>495300</xdr:colOff>
      <xdr:row>36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BE5AEC1-1684-4E7D-3071-7EEEE33D7A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9</xdr:col>
      <xdr:colOff>482600</xdr:colOff>
      <xdr:row>23</xdr:row>
      <xdr:rowOff>0</xdr:rowOff>
    </xdr:from>
    <xdr:ext cx="523348" cy="26443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D75D4A1-91B8-8DB5-C8FA-AD27FCA25516}"/>
            </a:ext>
          </a:extLst>
        </xdr:cNvPr>
        <xdr:cNvSpPr txBox="1"/>
      </xdr:nvSpPr>
      <xdr:spPr>
        <a:xfrm>
          <a:off x="7912100" y="4673600"/>
          <a:ext cx="523348" cy="2644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n = 35</a:t>
          </a:r>
        </a:p>
      </xdr:txBody>
    </xdr:sp>
    <xdr:clientData/>
  </xdr:oneCellAnchor>
  <xdr:oneCellAnchor>
    <xdr:from>
      <xdr:col>11</xdr:col>
      <xdr:colOff>419100</xdr:colOff>
      <xdr:row>29</xdr:row>
      <xdr:rowOff>0</xdr:rowOff>
    </xdr:from>
    <xdr:ext cx="451855" cy="26443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2FAD569-C014-8E4A-A693-EA048AB7B3CC}"/>
            </a:ext>
          </a:extLst>
        </xdr:cNvPr>
        <xdr:cNvSpPr txBox="1"/>
      </xdr:nvSpPr>
      <xdr:spPr>
        <a:xfrm>
          <a:off x="9499600" y="5892800"/>
          <a:ext cx="451855" cy="2644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n = 9</a:t>
          </a:r>
        </a:p>
      </xdr:txBody>
    </xdr:sp>
    <xdr:clientData/>
  </xdr:oneCellAnchor>
  <xdr:oneCellAnchor>
    <xdr:from>
      <xdr:col>13</xdr:col>
      <xdr:colOff>304800</xdr:colOff>
      <xdr:row>30</xdr:row>
      <xdr:rowOff>127000</xdr:rowOff>
    </xdr:from>
    <xdr:ext cx="451855" cy="26443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7BE0A04-B78D-6642-84B1-73559072536C}"/>
            </a:ext>
          </a:extLst>
        </xdr:cNvPr>
        <xdr:cNvSpPr txBox="1"/>
      </xdr:nvSpPr>
      <xdr:spPr>
        <a:xfrm>
          <a:off x="11036300" y="6223000"/>
          <a:ext cx="451855" cy="2644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n = 2</a:t>
          </a:r>
        </a:p>
      </xdr:txBody>
    </xdr:sp>
    <xdr:clientData/>
  </xdr:oneCellAnchor>
  <xdr:oneCellAnchor>
    <xdr:from>
      <xdr:col>15</xdr:col>
      <xdr:colOff>190500</xdr:colOff>
      <xdr:row>30</xdr:row>
      <xdr:rowOff>165100</xdr:rowOff>
    </xdr:from>
    <xdr:ext cx="451855" cy="264431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A7A81FD-3CC8-464C-83E3-EA8AC59B7149}"/>
            </a:ext>
          </a:extLst>
        </xdr:cNvPr>
        <xdr:cNvSpPr txBox="1"/>
      </xdr:nvSpPr>
      <xdr:spPr>
        <a:xfrm>
          <a:off x="12573000" y="6261100"/>
          <a:ext cx="451855" cy="2644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n = 1</a:t>
          </a:r>
        </a:p>
      </xdr:txBody>
    </xdr:sp>
    <xdr:clientData/>
  </xdr:oneCellAnchor>
  <xdr:twoCellAnchor>
    <xdr:from>
      <xdr:col>7</xdr:col>
      <xdr:colOff>755650</xdr:colOff>
      <xdr:row>0</xdr:row>
      <xdr:rowOff>152400</xdr:rowOff>
    </xdr:from>
    <xdr:to>
      <xdr:col>16</xdr:col>
      <xdr:colOff>457200</xdr:colOff>
      <xdr:row>18</xdr:row>
      <xdr:rowOff>38100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F3C264D-5FA1-1218-1026-9EB3A80156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10</xdr:col>
      <xdr:colOff>190500</xdr:colOff>
      <xdr:row>3</xdr:row>
      <xdr:rowOff>165100</xdr:rowOff>
    </xdr:from>
    <xdr:ext cx="523348" cy="264431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E5418B0-0747-444A-9C88-ECD424AEE743}"/>
            </a:ext>
          </a:extLst>
        </xdr:cNvPr>
        <xdr:cNvSpPr txBox="1"/>
      </xdr:nvSpPr>
      <xdr:spPr>
        <a:xfrm>
          <a:off x="8445500" y="774700"/>
          <a:ext cx="523348" cy="2644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sz="1100"/>
            <a:t>n = 35</a:t>
          </a:r>
        </a:p>
      </xdr:txBody>
    </xdr:sp>
    <xdr:clientData/>
  </xdr:oneCellAnchor>
  <xdr:oneCellAnchor>
    <xdr:from>
      <xdr:col>11</xdr:col>
      <xdr:colOff>762000</xdr:colOff>
      <xdr:row>3</xdr:row>
      <xdr:rowOff>165100</xdr:rowOff>
    </xdr:from>
    <xdr:ext cx="451855" cy="264431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C7CC4BB-1ECD-8243-BF5C-BC209EEE897E}"/>
            </a:ext>
          </a:extLst>
        </xdr:cNvPr>
        <xdr:cNvSpPr txBox="1"/>
      </xdr:nvSpPr>
      <xdr:spPr>
        <a:xfrm>
          <a:off x="9842500" y="774700"/>
          <a:ext cx="451855" cy="2644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sz="1100"/>
            <a:t>n = 9</a:t>
          </a:r>
        </a:p>
      </xdr:txBody>
    </xdr:sp>
    <xdr:clientData/>
  </xdr:oneCellAnchor>
  <xdr:oneCellAnchor>
    <xdr:from>
      <xdr:col>13</xdr:col>
      <xdr:colOff>469900</xdr:colOff>
      <xdr:row>3</xdr:row>
      <xdr:rowOff>165100</xdr:rowOff>
    </xdr:from>
    <xdr:ext cx="451855" cy="26443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1399A23-9DCD-A147-A287-5B53E3A9F914}"/>
            </a:ext>
          </a:extLst>
        </xdr:cNvPr>
        <xdr:cNvSpPr txBox="1"/>
      </xdr:nvSpPr>
      <xdr:spPr>
        <a:xfrm>
          <a:off x="11201400" y="774700"/>
          <a:ext cx="451855" cy="2644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sz="1100"/>
            <a:t>n = 2</a:t>
          </a:r>
        </a:p>
      </xdr:txBody>
    </xdr:sp>
    <xdr:clientData/>
  </xdr:oneCellAnchor>
  <xdr:oneCellAnchor>
    <xdr:from>
      <xdr:col>15</xdr:col>
      <xdr:colOff>177800</xdr:colOff>
      <xdr:row>3</xdr:row>
      <xdr:rowOff>165100</xdr:rowOff>
    </xdr:from>
    <xdr:ext cx="451855" cy="264431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458ADB95-37DC-714B-BC22-94086C765050}"/>
            </a:ext>
          </a:extLst>
        </xdr:cNvPr>
        <xdr:cNvSpPr txBox="1"/>
      </xdr:nvSpPr>
      <xdr:spPr>
        <a:xfrm>
          <a:off x="12560300" y="774700"/>
          <a:ext cx="451855" cy="2644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sz="1100"/>
            <a:t>n = 1</a:t>
          </a:r>
        </a:p>
      </xdr:txBody>
    </xdr:sp>
    <xdr:clientData/>
  </xdr:oneCellAnchor>
  <xdr:twoCellAnchor>
    <xdr:from>
      <xdr:col>8</xdr:col>
      <xdr:colOff>88900</xdr:colOff>
      <xdr:row>37</xdr:row>
      <xdr:rowOff>69850</xdr:rowOff>
    </xdr:from>
    <xdr:to>
      <xdr:col>16</xdr:col>
      <xdr:colOff>736600</xdr:colOff>
      <xdr:row>54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0A0E40-9512-513A-0A41-2E57DF0468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228600</xdr:colOff>
      <xdr:row>24</xdr:row>
      <xdr:rowOff>127000</xdr:rowOff>
    </xdr:to>
    <xdr:pic>
      <xdr:nvPicPr>
        <xdr:cNvPr id="2" name="Picture 1" descr="Image">
          <a:extLst>
            <a:ext uri="{FF2B5EF4-FFF2-40B4-BE49-F238E27FC236}">
              <a16:creationId xmlns:a16="http://schemas.microsoft.com/office/drawing/2014/main" id="{9E1017BF-350F-444B-9550-25B942353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832600" cy="5003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8CCD9-687B-5F43-9735-29FA9B9919D9}">
  <dimension ref="A1:O48"/>
  <sheetViews>
    <sheetView topLeftCell="A23" workbookViewId="0">
      <selection activeCell="M42" sqref="M42"/>
    </sheetView>
  </sheetViews>
  <sheetFormatPr baseColWidth="10" defaultRowHeight="16" x14ac:dyDescent="0.2"/>
  <cols>
    <col min="2" max="2" width="17.5" customWidth="1"/>
    <col min="7" max="7" width="19.6640625" customWidth="1"/>
  </cols>
  <sheetData>
    <row r="1" spans="1:15" ht="51" x14ac:dyDescent="0.2">
      <c r="A1" s="1" t="s">
        <v>0</v>
      </c>
      <c r="B1" s="1" t="s">
        <v>1</v>
      </c>
    </row>
    <row r="2" spans="1:15" x14ac:dyDescent="0.2">
      <c r="A2">
        <v>420</v>
      </c>
      <c r="B2" s="2">
        <v>0</v>
      </c>
      <c r="D2" s="3" t="s">
        <v>2</v>
      </c>
      <c r="E2" s="4"/>
      <c r="F2" s="4">
        <v>0</v>
      </c>
    </row>
    <row r="3" spans="1:15" x14ac:dyDescent="0.2">
      <c r="A3">
        <v>179</v>
      </c>
      <c r="B3" s="2">
        <v>1</v>
      </c>
      <c r="D3" s="3" t="s">
        <v>3</v>
      </c>
      <c r="E3" s="4"/>
      <c r="F3" s="4">
        <v>1</v>
      </c>
    </row>
    <row r="4" spans="1:15" x14ac:dyDescent="0.2">
      <c r="A4">
        <v>882</v>
      </c>
      <c r="B4" s="2">
        <v>0</v>
      </c>
      <c r="D4" s="3" t="s">
        <v>4</v>
      </c>
      <c r="E4" s="4"/>
      <c r="F4" s="4">
        <v>2</v>
      </c>
    </row>
    <row r="5" spans="1:15" x14ac:dyDescent="0.2">
      <c r="A5">
        <v>261</v>
      </c>
      <c r="B5" s="2">
        <v>4</v>
      </c>
      <c r="D5" s="3" t="s">
        <v>5</v>
      </c>
      <c r="E5" s="4"/>
      <c r="F5" s="4">
        <v>3</v>
      </c>
    </row>
    <row r="6" spans="1:15" x14ac:dyDescent="0.2">
      <c r="A6">
        <v>514</v>
      </c>
      <c r="B6" s="2">
        <v>0</v>
      </c>
      <c r="D6" s="3" t="s">
        <v>6</v>
      </c>
      <c r="E6" s="4"/>
      <c r="F6" s="4">
        <v>4</v>
      </c>
    </row>
    <row r="7" spans="1:15" x14ac:dyDescent="0.2">
      <c r="A7">
        <v>784</v>
      </c>
      <c r="B7" s="2">
        <v>1</v>
      </c>
      <c r="D7" s="4" t="s">
        <v>7</v>
      </c>
      <c r="E7" s="4"/>
      <c r="F7" s="4">
        <v>5</v>
      </c>
    </row>
    <row r="8" spans="1:15" x14ac:dyDescent="0.2">
      <c r="A8">
        <v>468</v>
      </c>
      <c r="B8" s="2">
        <v>0</v>
      </c>
      <c r="D8" s="4" t="s">
        <v>8</v>
      </c>
      <c r="E8" s="4"/>
      <c r="F8" s="4">
        <v>6</v>
      </c>
    </row>
    <row r="9" spans="1:15" x14ac:dyDescent="0.2">
      <c r="A9">
        <v>530</v>
      </c>
      <c r="B9" s="2">
        <v>1</v>
      </c>
      <c r="D9" s="4" t="s">
        <v>9</v>
      </c>
      <c r="E9" s="4"/>
      <c r="F9" s="4">
        <v>7</v>
      </c>
    </row>
    <row r="10" spans="1:15" x14ac:dyDescent="0.2">
      <c r="A10">
        <v>1896</v>
      </c>
      <c r="B10" s="2">
        <v>0</v>
      </c>
      <c r="D10" s="4" t="s">
        <v>10</v>
      </c>
      <c r="E10" s="4"/>
      <c r="F10" s="4">
        <v>8</v>
      </c>
    </row>
    <row r="11" spans="1:15" x14ac:dyDescent="0.2">
      <c r="A11">
        <v>170</v>
      </c>
      <c r="B11" s="2">
        <v>5</v>
      </c>
      <c r="D11" s="4" t="s">
        <v>11</v>
      </c>
      <c r="E11" s="4"/>
      <c r="F11" s="4">
        <v>9</v>
      </c>
    </row>
    <row r="12" spans="1:15" x14ac:dyDescent="0.2">
      <c r="A12">
        <v>804</v>
      </c>
      <c r="B12" s="5">
        <v>0</v>
      </c>
      <c r="D12" s="4" t="s">
        <v>12</v>
      </c>
      <c r="E12" s="4"/>
      <c r="F12" s="4">
        <v>10</v>
      </c>
    </row>
    <row r="13" spans="1:15" x14ac:dyDescent="0.2">
      <c r="A13">
        <v>1101</v>
      </c>
      <c r="B13" s="5">
        <v>7</v>
      </c>
      <c r="D13" s="6" t="s">
        <v>3</v>
      </c>
      <c r="E13" s="6" t="s">
        <v>4</v>
      </c>
      <c r="F13" s="7" t="s">
        <v>13</v>
      </c>
      <c r="G13" s="6" t="s">
        <v>6</v>
      </c>
      <c r="H13" s="6" t="s">
        <v>7</v>
      </c>
      <c r="I13" s="6" t="s">
        <v>8</v>
      </c>
      <c r="J13" s="6" t="s">
        <v>9</v>
      </c>
      <c r="K13" s="6" t="s">
        <v>14</v>
      </c>
      <c r="L13" s="6" t="s">
        <v>11</v>
      </c>
      <c r="M13" s="6"/>
      <c r="N13" s="6" t="s">
        <v>15</v>
      </c>
      <c r="O13" s="6" t="s">
        <v>12</v>
      </c>
    </row>
    <row r="14" spans="1:15" x14ac:dyDescent="0.2">
      <c r="A14">
        <v>172</v>
      </c>
      <c r="B14" s="2">
        <v>8</v>
      </c>
      <c r="D14" cm="1">
        <f t="array" ref="D14:N14">COUNTIF(B2:B48, {1,2,3,4,5,6,7,8,9,10,0})</f>
        <v>10</v>
      </c>
      <c r="E14">
        <v>2</v>
      </c>
      <c r="F14">
        <v>4</v>
      </c>
      <c r="G14">
        <v>6</v>
      </c>
      <c r="H14">
        <v>1</v>
      </c>
      <c r="I14">
        <v>2</v>
      </c>
      <c r="J14">
        <v>1</v>
      </c>
      <c r="K14">
        <v>1</v>
      </c>
      <c r="L14">
        <v>2</v>
      </c>
      <c r="M14">
        <v>1</v>
      </c>
      <c r="N14">
        <v>17</v>
      </c>
      <c r="O14">
        <v>1</v>
      </c>
    </row>
    <row r="15" spans="1:15" x14ac:dyDescent="0.2">
      <c r="A15">
        <v>549</v>
      </c>
      <c r="B15" s="5">
        <v>1</v>
      </c>
      <c r="D15" s="8">
        <f>D14/D16</f>
        <v>0.21276595744680851</v>
      </c>
      <c r="E15" s="8">
        <f t="shared" ref="E15:L15" si="0">E14/E16</f>
        <v>4.2553191489361701E-2</v>
      </c>
      <c r="F15" s="8">
        <f t="shared" si="0"/>
        <v>8.5106382978723402E-2</v>
      </c>
      <c r="G15" s="8">
        <f t="shared" si="0"/>
        <v>0.1276595744680851</v>
      </c>
      <c r="H15" s="8">
        <f t="shared" si="0"/>
        <v>2.1276595744680851E-2</v>
      </c>
      <c r="I15" s="8">
        <f t="shared" si="0"/>
        <v>4.2553191489361701E-2</v>
      </c>
      <c r="J15" s="8">
        <f t="shared" si="0"/>
        <v>2.1276595744680851E-2</v>
      </c>
      <c r="K15" s="8">
        <f t="shared" si="0"/>
        <v>2.1276595744680851E-2</v>
      </c>
      <c r="L15" s="8">
        <f t="shared" si="0"/>
        <v>4.2553191489361701E-2</v>
      </c>
      <c r="M15" s="8"/>
      <c r="N15" s="8">
        <f>N14/N16</f>
        <v>0.36170212765957449</v>
      </c>
      <c r="O15" s="8">
        <v>0.02</v>
      </c>
    </row>
    <row r="16" spans="1:15" x14ac:dyDescent="0.2">
      <c r="A16">
        <v>400</v>
      </c>
      <c r="B16" s="2">
        <v>6</v>
      </c>
      <c r="D16">
        <v>47</v>
      </c>
      <c r="E16">
        <v>47</v>
      </c>
      <c r="F16">
        <v>47</v>
      </c>
      <c r="G16">
        <v>47</v>
      </c>
      <c r="H16">
        <v>47</v>
      </c>
      <c r="I16">
        <v>47</v>
      </c>
      <c r="J16">
        <v>47</v>
      </c>
      <c r="K16">
        <v>47</v>
      </c>
      <c r="L16">
        <v>47</v>
      </c>
      <c r="N16">
        <v>47</v>
      </c>
      <c r="O16">
        <v>47</v>
      </c>
    </row>
    <row r="17" spans="1:15" x14ac:dyDescent="0.2">
      <c r="A17">
        <v>272</v>
      </c>
      <c r="B17" s="5">
        <v>0</v>
      </c>
    </row>
    <row r="18" spans="1:15" x14ac:dyDescent="0.2">
      <c r="A18">
        <v>229</v>
      </c>
      <c r="B18" s="2">
        <v>9</v>
      </c>
      <c r="D18" t="s">
        <v>15</v>
      </c>
      <c r="E18" t="s">
        <v>4</v>
      </c>
      <c r="F18" t="s">
        <v>6</v>
      </c>
      <c r="G18" t="s">
        <v>13</v>
      </c>
      <c r="H18" t="s">
        <v>8</v>
      </c>
      <c r="I18" t="s">
        <v>11</v>
      </c>
      <c r="J18" t="s">
        <v>4</v>
      </c>
      <c r="K18" t="s">
        <v>14</v>
      </c>
      <c r="L18" t="s">
        <v>7</v>
      </c>
      <c r="M18" t="s">
        <v>9</v>
      </c>
      <c r="N18" t="s">
        <v>12</v>
      </c>
    </row>
    <row r="19" spans="1:15" x14ac:dyDescent="0.2">
      <c r="A19">
        <v>410</v>
      </c>
      <c r="B19" s="2">
        <v>3</v>
      </c>
      <c r="D19">
        <v>17</v>
      </c>
      <c r="E19">
        <v>2</v>
      </c>
      <c r="F19">
        <v>6</v>
      </c>
      <c r="G19">
        <v>4</v>
      </c>
      <c r="H19">
        <v>2</v>
      </c>
      <c r="I19">
        <v>2</v>
      </c>
      <c r="J19">
        <v>2</v>
      </c>
      <c r="K19">
        <v>1</v>
      </c>
      <c r="L19">
        <v>1</v>
      </c>
      <c r="M19">
        <v>1</v>
      </c>
      <c r="N19">
        <v>1</v>
      </c>
    </row>
    <row r="20" spans="1:15" x14ac:dyDescent="0.2">
      <c r="A20">
        <v>474</v>
      </c>
      <c r="B20" s="2">
        <v>0</v>
      </c>
      <c r="D20" s="8">
        <v>0.36170212765957449</v>
      </c>
      <c r="E20" s="8">
        <v>4.2553191489361701E-2</v>
      </c>
      <c r="F20" s="8">
        <v>0.1276595744680851</v>
      </c>
      <c r="G20" s="8">
        <v>8.5106382978723402E-2</v>
      </c>
      <c r="H20" s="8">
        <v>4.2553191489361701E-2</v>
      </c>
      <c r="I20" s="8">
        <v>4.2553191489361701E-2</v>
      </c>
      <c r="J20" s="8">
        <v>4.2553191489361701E-2</v>
      </c>
      <c r="K20" s="8">
        <v>2.1276595744680851E-2</v>
      </c>
      <c r="L20" s="8">
        <v>2.1276595744680851E-2</v>
      </c>
      <c r="M20" s="8">
        <v>2.1276595744680851E-2</v>
      </c>
      <c r="N20" s="8">
        <v>0.02</v>
      </c>
      <c r="O20" s="8"/>
    </row>
    <row r="21" spans="1:15" x14ac:dyDescent="0.2">
      <c r="A21">
        <v>1222</v>
      </c>
      <c r="B21" s="2">
        <v>1</v>
      </c>
    </row>
    <row r="22" spans="1:15" x14ac:dyDescent="0.2">
      <c r="A22">
        <v>1329</v>
      </c>
      <c r="B22" s="2">
        <v>0</v>
      </c>
      <c r="D22" t="s">
        <v>15</v>
      </c>
      <c r="E22" t="s">
        <v>3</v>
      </c>
      <c r="F22" t="s">
        <v>6</v>
      </c>
      <c r="G22" t="s">
        <v>32</v>
      </c>
      <c r="H22" t="s">
        <v>4</v>
      </c>
      <c r="I22" t="s">
        <v>8</v>
      </c>
      <c r="J22" t="s">
        <v>11</v>
      </c>
      <c r="K22" t="s">
        <v>14</v>
      </c>
      <c r="L22" t="s">
        <v>7</v>
      </c>
      <c r="M22" t="s">
        <v>9</v>
      </c>
      <c r="N22" t="s">
        <v>12</v>
      </c>
    </row>
    <row r="23" spans="1:15" x14ac:dyDescent="0.2">
      <c r="A23">
        <v>114</v>
      </c>
      <c r="B23" s="2">
        <v>0</v>
      </c>
      <c r="D23" s="8">
        <v>0.36170212765957449</v>
      </c>
      <c r="E23" s="8">
        <v>0.21</v>
      </c>
      <c r="F23" s="8">
        <v>0.1276595744680851</v>
      </c>
      <c r="G23" s="8">
        <v>0.09</v>
      </c>
      <c r="H23" s="8">
        <v>4.2553191489361701E-2</v>
      </c>
      <c r="I23" s="8">
        <v>4.2553191489361701E-2</v>
      </c>
      <c r="J23" s="8">
        <v>4.2553191489361701E-2</v>
      </c>
      <c r="K23" s="8">
        <v>2.1276595744680851E-2</v>
      </c>
      <c r="L23" s="8">
        <v>2.1276595744680851E-2</v>
      </c>
      <c r="M23" s="8">
        <v>2.1276595744680851E-2</v>
      </c>
      <c r="N23" s="8">
        <v>0.02</v>
      </c>
      <c r="O23" s="8"/>
    </row>
    <row r="24" spans="1:15" x14ac:dyDescent="0.2">
      <c r="A24">
        <v>688</v>
      </c>
      <c r="B24" s="2">
        <v>1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1:15" x14ac:dyDescent="0.2">
      <c r="A25">
        <v>259</v>
      </c>
      <c r="B25" s="2">
        <v>3</v>
      </c>
    </row>
    <row r="26" spans="1:15" x14ac:dyDescent="0.2">
      <c r="A26">
        <v>104</v>
      </c>
      <c r="B26" s="2">
        <v>0</v>
      </c>
    </row>
    <row r="27" spans="1:15" x14ac:dyDescent="0.2">
      <c r="A27">
        <v>202</v>
      </c>
      <c r="B27" s="2">
        <v>2</v>
      </c>
    </row>
    <row r="28" spans="1:15" x14ac:dyDescent="0.2">
      <c r="A28">
        <v>309</v>
      </c>
      <c r="B28" s="2">
        <v>6</v>
      </c>
    </row>
    <row r="29" spans="1:15" x14ac:dyDescent="0.2">
      <c r="A29" s="9">
        <v>225</v>
      </c>
      <c r="B29" s="2">
        <v>1</v>
      </c>
    </row>
    <row r="30" spans="1:15" x14ac:dyDescent="0.2">
      <c r="A30" s="9">
        <v>118</v>
      </c>
      <c r="B30" s="2">
        <v>4</v>
      </c>
    </row>
    <row r="31" spans="1:15" x14ac:dyDescent="0.2">
      <c r="A31">
        <v>168</v>
      </c>
      <c r="B31" s="2">
        <v>1</v>
      </c>
    </row>
    <row r="32" spans="1:15" x14ac:dyDescent="0.2">
      <c r="A32">
        <v>242</v>
      </c>
      <c r="B32" s="2">
        <v>1</v>
      </c>
    </row>
    <row r="33" spans="1:2" x14ac:dyDescent="0.2">
      <c r="A33">
        <v>370</v>
      </c>
      <c r="B33" s="2">
        <v>10</v>
      </c>
    </row>
    <row r="34" spans="1:2" x14ac:dyDescent="0.2">
      <c r="A34">
        <v>242</v>
      </c>
      <c r="B34" s="2">
        <v>1</v>
      </c>
    </row>
    <row r="35" spans="1:2" x14ac:dyDescent="0.2">
      <c r="A35">
        <v>225</v>
      </c>
      <c r="B35" s="2">
        <v>4</v>
      </c>
    </row>
    <row r="36" spans="1:2" x14ac:dyDescent="0.2">
      <c r="A36" s="9">
        <v>529</v>
      </c>
      <c r="B36" s="2">
        <v>4</v>
      </c>
    </row>
    <row r="37" spans="1:2" x14ac:dyDescent="0.2">
      <c r="A37">
        <v>294</v>
      </c>
      <c r="B37" s="2">
        <v>0</v>
      </c>
    </row>
    <row r="38" spans="1:2" x14ac:dyDescent="0.2">
      <c r="A38" s="9">
        <v>725</v>
      </c>
      <c r="B38" s="2">
        <v>3</v>
      </c>
    </row>
    <row r="39" spans="1:2" x14ac:dyDescent="0.2">
      <c r="A39">
        <v>168</v>
      </c>
      <c r="B39" s="2">
        <v>4</v>
      </c>
    </row>
    <row r="40" spans="1:2" x14ac:dyDescent="0.2">
      <c r="A40">
        <v>907</v>
      </c>
      <c r="B40" s="2">
        <v>2</v>
      </c>
    </row>
    <row r="41" spans="1:2" x14ac:dyDescent="0.2">
      <c r="A41">
        <v>336</v>
      </c>
      <c r="B41" s="2">
        <v>0</v>
      </c>
    </row>
    <row r="42" spans="1:2" x14ac:dyDescent="0.2">
      <c r="A42">
        <v>144</v>
      </c>
      <c r="B42" s="2">
        <v>4</v>
      </c>
    </row>
    <row r="43" spans="1:2" x14ac:dyDescent="0.2">
      <c r="A43">
        <v>261</v>
      </c>
      <c r="B43">
        <v>0</v>
      </c>
    </row>
    <row r="44" spans="1:2" x14ac:dyDescent="0.2">
      <c r="A44">
        <v>804</v>
      </c>
      <c r="B44">
        <v>3</v>
      </c>
    </row>
    <row r="45" spans="1:2" x14ac:dyDescent="0.2">
      <c r="A45">
        <v>474</v>
      </c>
      <c r="B45">
        <v>9</v>
      </c>
    </row>
    <row r="46" spans="1:2" x14ac:dyDescent="0.2">
      <c r="A46">
        <v>118</v>
      </c>
      <c r="B46">
        <v>0</v>
      </c>
    </row>
    <row r="47" spans="1:2" x14ac:dyDescent="0.2">
      <c r="A47">
        <v>242</v>
      </c>
      <c r="B47">
        <v>0</v>
      </c>
    </row>
    <row r="48" spans="1:2" x14ac:dyDescent="0.2">
      <c r="A48">
        <v>242</v>
      </c>
      <c r="B48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7ECFA-22CB-B444-9022-46E07304E5D1}">
  <dimension ref="A15:T49"/>
  <sheetViews>
    <sheetView tabSelected="1" workbookViewId="0">
      <selection activeCell="A12" sqref="A12"/>
    </sheetView>
  </sheetViews>
  <sheetFormatPr baseColWidth="10" defaultRowHeight="16" x14ac:dyDescent="0.2"/>
  <cols>
    <col min="7" max="7" width="15" customWidth="1"/>
  </cols>
  <sheetData>
    <row r="15" spans="1:20" ht="16" customHeight="1" x14ac:dyDescent="0.2">
      <c r="B15" s="6"/>
      <c r="C15" s="6"/>
      <c r="D15" s="6"/>
    </row>
    <row r="16" spans="1:20" x14ac:dyDescent="0.2">
      <c r="A16" s="32"/>
      <c r="B16" s="33"/>
      <c r="C16" s="33"/>
      <c r="D16" s="33"/>
      <c r="G16" s="32"/>
      <c r="H16" s="32"/>
      <c r="I16" s="32"/>
      <c r="R16" s="32"/>
      <c r="S16" s="32"/>
      <c r="T16" s="32"/>
    </row>
    <row r="17" spans="1:20" x14ac:dyDescent="0.2">
      <c r="A17" s="32"/>
      <c r="B17" s="33"/>
      <c r="C17" s="33"/>
      <c r="D17" s="33"/>
      <c r="G17" s="32"/>
      <c r="H17" s="32"/>
      <c r="I17" s="32"/>
      <c r="R17" s="32"/>
      <c r="S17" s="32"/>
      <c r="T17" s="32"/>
    </row>
    <row r="18" spans="1:20" x14ac:dyDescent="0.2">
      <c r="A18" s="32"/>
      <c r="B18" s="33"/>
      <c r="C18" s="33"/>
      <c r="D18" s="33"/>
      <c r="G18" s="32"/>
      <c r="H18" s="32"/>
      <c r="I18" s="32"/>
      <c r="R18" s="32"/>
      <c r="S18" s="32"/>
      <c r="T18" s="32"/>
    </row>
    <row r="19" spans="1:20" ht="16" customHeight="1" x14ac:dyDescent="0.2">
      <c r="A19" s="32"/>
      <c r="B19" s="33"/>
      <c r="C19" s="33"/>
      <c r="D19" s="33"/>
      <c r="G19" s="32"/>
      <c r="H19" s="32"/>
      <c r="I19" s="32"/>
      <c r="R19" s="32"/>
      <c r="S19" s="32"/>
      <c r="T19" s="32"/>
    </row>
    <row r="20" spans="1:20" x14ac:dyDescent="0.2">
      <c r="G20" s="32"/>
      <c r="H20" s="32"/>
      <c r="I20" s="32"/>
      <c r="R20" s="32"/>
      <c r="S20" s="32"/>
      <c r="T20" s="32"/>
    </row>
    <row r="21" spans="1:20" x14ac:dyDescent="0.2">
      <c r="B21" s="30"/>
      <c r="C21" s="30"/>
      <c r="D21" s="30"/>
      <c r="G21" s="32"/>
      <c r="H21" s="32"/>
      <c r="I21" s="32"/>
      <c r="L21" s="10"/>
      <c r="M21" s="30"/>
      <c r="N21" s="30"/>
      <c r="O21" s="30"/>
      <c r="Q21" s="10"/>
      <c r="R21" s="32"/>
      <c r="S21" s="32"/>
      <c r="T21" s="32"/>
    </row>
    <row r="22" spans="1:20" x14ac:dyDescent="0.2">
      <c r="L22" s="10"/>
      <c r="M22" s="11"/>
      <c r="N22" s="11"/>
      <c r="O22" s="11"/>
      <c r="P22" s="12"/>
      <c r="Q22" s="10"/>
      <c r="R22" s="11"/>
      <c r="S22" s="11"/>
      <c r="T22" s="11"/>
    </row>
    <row r="23" spans="1:20" x14ac:dyDescent="0.2">
      <c r="G23" s="8"/>
      <c r="H23" s="8"/>
      <c r="I23" s="8"/>
      <c r="L23" s="11"/>
      <c r="M23" s="13"/>
      <c r="N23" s="13"/>
      <c r="O23" s="13"/>
      <c r="Q23" s="11"/>
      <c r="R23" s="14"/>
      <c r="S23" s="14"/>
      <c r="T23" s="14"/>
    </row>
    <row r="24" spans="1:20" x14ac:dyDescent="0.2">
      <c r="G24" s="8"/>
      <c r="H24" s="8"/>
      <c r="I24" s="8"/>
      <c r="L24" s="11"/>
      <c r="M24" s="13"/>
      <c r="N24" s="13"/>
      <c r="O24" s="13"/>
      <c r="Q24" s="11"/>
      <c r="R24" s="14"/>
      <c r="S24" s="14"/>
      <c r="T24" s="14"/>
    </row>
    <row r="25" spans="1:20" x14ac:dyDescent="0.2">
      <c r="G25" s="8"/>
      <c r="H25" s="8"/>
      <c r="I25" s="8"/>
      <c r="L25" s="11"/>
      <c r="M25" s="13"/>
      <c r="N25" s="13"/>
      <c r="O25" s="13"/>
      <c r="Q25" s="11"/>
      <c r="R25" s="14"/>
      <c r="S25" s="14"/>
      <c r="T25" s="14"/>
    </row>
    <row r="26" spans="1:20" x14ac:dyDescent="0.2">
      <c r="G26" s="8"/>
      <c r="H26" s="8"/>
      <c r="I26" s="8"/>
      <c r="L26" s="11"/>
      <c r="M26" s="13"/>
      <c r="N26" s="13"/>
      <c r="O26" s="13"/>
      <c r="Q26" s="11"/>
      <c r="R26" s="14"/>
      <c r="S26" s="14"/>
      <c r="T26" s="14"/>
    </row>
    <row r="27" spans="1:20" x14ac:dyDescent="0.2">
      <c r="G27" s="8"/>
      <c r="H27" s="8"/>
      <c r="I27" s="8"/>
      <c r="L27" s="11"/>
      <c r="M27" s="13"/>
      <c r="N27" s="13"/>
      <c r="O27" s="13"/>
      <c r="Q27" s="11"/>
      <c r="R27" s="14"/>
      <c r="S27" s="14"/>
      <c r="T27" s="14"/>
    </row>
    <row r="28" spans="1:20" x14ac:dyDescent="0.2">
      <c r="G28" s="8"/>
      <c r="H28" s="8"/>
      <c r="I28" s="8"/>
      <c r="L28" s="11"/>
      <c r="M28" s="15"/>
      <c r="N28" s="15"/>
      <c r="O28" s="15"/>
      <c r="Q28" s="11"/>
      <c r="R28" s="14"/>
      <c r="S28" s="14"/>
      <c r="T28" s="14"/>
    </row>
    <row r="29" spans="1:20" x14ac:dyDescent="0.2">
      <c r="G29" s="8"/>
      <c r="H29" s="8"/>
      <c r="I29" s="8"/>
      <c r="L29" s="11"/>
      <c r="M29" s="15"/>
      <c r="N29" s="15"/>
      <c r="O29" s="15"/>
      <c r="Q29" s="11"/>
      <c r="R29" s="14"/>
      <c r="S29" s="14"/>
      <c r="T29" s="14"/>
    </row>
    <row r="34" spans="1:12" x14ac:dyDescent="0.2">
      <c r="B34" s="6" t="s">
        <v>15</v>
      </c>
      <c r="C34" s="6" t="s">
        <v>3</v>
      </c>
      <c r="D34" s="6" t="s">
        <v>6</v>
      </c>
      <c r="E34" s="6" t="s">
        <v>32</v>
      </c>
      <c r="F34" s="6" t="s">
        <v>4</v>
      </c>
      <c r="G34" s="6" t="s">
        <v>8</v>
      </c>
      <c r="H34" s="6" t="s">
        <v>33</v>
      </c>
      <c r="I34" s="6" t="s">
        <v>14</v>
      </c>
      <c r="J34" s="6" t="s">
        <v>7</v>
      </c>
      <c r="K34" s="6" t="s">
        <v>9</v>
      </c>
      <c r="L34" s="6" t="s">
        <v>12</v>
      </c>
    </row>
    <row r="35" spans="1:12" x14ac:dyDescent="0.2">
      <c r="A35" t="s">
        <v>156</v>
      </c>
      <c r="B35">
        <v>9</v>
      </c>
      <c r="C35">
        <v>5</v>
      </c>
      <c r="D35">
        <v>5</v>
      </c>
      <c r="E35">
        <v>1</v>
      </c>
      <c r="F35">
        <v>1</v>
      </c>
      <c r="G35">
        <v>2</v>
      </c>
      <c r="H35">
        <v>1</v>
      </c>
      <c r="I35">
        <v>1</v>
      </c>
      <c r="J35">
        <v>1</v>
      </c>
      <c r="K35">
        <v>0</v>
      </c>
      <c r="L35">
        <v>1</v>
      </c>
    </row>
    <row r="36" spans="1:12" x14ac:dyDescent="0.2">
      <c r="A36" t="s">
        <v>157</v>
      </c>
      <c r="B36">
        <v>4</v>
      </c>
      <c r="C36">
        <v>3</v>
      </c>
      <c r="D36">
        <v>1</v>
      </c>
      <c r="E36">
        <v>1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</row>
    <row r="37" spans="1:12" x14ac:dyDescent="0.2">
      <c r="A37" t="s">
        <v>158</v>
      </c>
      <c r="B37">
        <v>2</v>
      </c>
      <c r="C37">
        <v>1</v>
      </c>
      <c r="D37">
        <v>0</v>
      </c>
      <c r="E37">
        <v>2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2">
      <c r="A38" t="s">
        <v>159</v>
      </c>
      <c r="B38">
        <v>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</row>
    <row r="39" spans="1:12" x14ac:dyDescent="0.2">
      <c r="A39" t="s">
        <v>160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2">
      <c r="A40" t="s">
        <v>161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2" spans="1:12" x14ac:dyDescent="0.2">
      <c r="B42" s="6" t="s">
        <v>16</v>
      </c>
      <c r="C42" s="6" t="s">
        <v>166</v>
      </c>
      <c r="D42" s="6" t="s">
        <v>18</v>
      </c>
      <c r="E42" s="6" t="s">
        <v>19</v>
      </c>
      <c r="F42" s="6"/>
      <c r="G42" s="6" t="s">
        <v>168</v>
      </c>
      <c r="H42" s="6" t="s">
        <v>166</v>
      </c>
      <c r="I42" s="6" t="s">
        <v>167</v>
      </c>
    </row>
    <row r="43" spans="1:12" x14ac:dyDescent="0.2">
      <c r="A43" t="s">
        <v>156</v>
      </c>
      <c r="B43">
        <v>11</v>
      </c>
      <c r="C43">
        <v>8</v>
      </c>
      <c r="D43">
        <v>6</v>
      </c>
      <c r="E43">
        <f>SUM(B43:D43)</f>
        <v>25</v>
      </c>
      <c r="F43" t="s">
        <v>156</v>
      </c>
      <c r="G43" s="8">
        <f>B43/23</f>
        <v>0.47826086956521741</v>
      </c>
      <c r="H43" s="8">
        <f>C43/14</f>
        <v>0.5714285714285714</v>
      </c>
      <c r="I43" s="8">
        <f>D43/8</f>
        <v>0.75</v>
      </c>
    </row>
    <row r="44" spans="1:12" x14ac:dyDescent="0.2">
      <c r="A44" t="s">
        <v>157</v>
      </c>
      <c r="B44">
        <v>6</v>
      </c>
      <c r="C44">
        <v>3</v>
      </c>
      <c r="D44">
        <v>1</v>
      </c>
      <c r="E44">
        <f t="shared" ref="E44:E48" si="0">SUM(B44:D44)</f>
        <v>10</v>
      </c>
      <c r="F44" t="s">
        <v>157</v>
      </c>
      <c r="G44" s="8">
        <f t="shared" ref="G44:G48" si="1">B44/23</f>
        <v>0.2608695652173913</v>
      </c>
      <c r="H44" s="8">
        <f t="shared" ref="H44:H48" si="2">C44/14</f>
        <v>0.21428571428571427</v>
      </c>
      <c r="I44" s="8">
        <f t="shared" ref="I44:I48" si="3">D44/8</f>
        <v>0.125</v>
      </c>
    </row>
    <row r="45" spans="1:12" x14ac:dyDescent="0.2">
      <c r="A45" t="s">
        <v>158</v>
      </c>
      <c r="B45">
        <v>4</v>
      </c>
      <c r="C45">
        <v>1</v>
      </c>
      <c r="D45">
        <v>1</v>
      </c>
      <c r="E45">
        <f t="shared" si="0"/>
        <v>6</v>
      </c>
      <c r="F45" t="s">
        <v>158</v>
      </c>
      <c r="G45" s="8">
        <f t="shared" si="1"/>
        <v>0.17391304347826086</v>
      </c>
      <c r="H45" s="8">
        <f t="shared" si="2"/>
        <v>7.1428571428571425E-2</v>
      </c>
      <c r="I45" s="8">
        <f t="shared" si="3"/>
        <v>0.125</v>
      </c>
    </row>
    <row r="46" spans="1:12" x14ac:dyDescent="0.2">
      <c r="A46" t="s">
        <v>159</v>
      </c>
      <c r="B46">
        <v>0</v>
      </c>
      <c r="C46">
        <v>2</v>
      </c>
      <c r="D46">
        <v>0</v>
      </c>
      <c r="E46">
        <f t="shared" si="0"/>
        <v>2</v>
      </c>
      <c r="F46" t="s">
        <v>159</v>
      </c>
      <c r="G46" s="8">
        <f t="shared" si="1"/>
        <v>0</v>
      </c>
      <c r="H46" s="8">
        <f t="shared" si="2"/>
        <v>0.14285714285714285</v>
      </c>
      <c r="I46" s="8">
        <f t="shared" si="3"/>
        <v>0</v>
      </c>
    </row>
    <row r="47" spans="1:12" x14ac:dyDescent="0.2">
      <c r="A47" t="s">
        <v>160</v>
      </c>
      <c r="B47">
        <v>1</v>
      </c>
      <c r="C47">
        <v>0</v>
      </c>
      <c r="D47">
        <v>0</v>
      </c>
      <c r="E47">
        <f t="shared" si="0"/>
        <v>1</v>
      </c>
      <c r="F47" t="s">
        <v>160</v>
      </c>
      <c r="G47" s="8">
        <f t="shared" si="1"/>
        <v>4.3478260869565216E-2</v>
      </c>
      <c r="H47" s="8">
        <f t="shared" si="2"/>
        <v>0</v>
      </c>
      <c r="I47" s="8">
        <f t="shared" si="3"/>
        <v>0</v>
      </c>
    </row>
    <row r="48" spans="1:12" x14ac:dyDescent="0.2">
      <c r="A48" t="s">
        <v>161</v>
      </c>
      <c r="B48">
        <v>1</v>
      </c>
      <c r="C48">
        <v>0</v>
      </c>
      <c r="D48">
        <v>0</v>
      </c>
      <c r="E48">
        <f t="shared" si="0"/>
        <v>1</v>
      </c>
      <c r="F48" t="s">
        <v>161</v>
      </c>
      <c r="G48" s="8">
        <f t="shared" si="1"/>
        <v>4.3478260869565216E-2</v>
      </c>
      <c r="H48" s="8">
        <f t="shared" si="2"/>
        <v>0</v>
      </c>
      <c r="I48" s="8">
        <f t="shared" si="3"/>
        <v>0</v>
      </c>
    </row>
    <row r="49" spans="7:9" x14ac:dyDescent="0.2">
      <c r="G49" s="28">
        <f>SUM(G43:G48)</f>
        <v>0.99999999999999989</v>
      </c>
      <c r="H49" s="28">
        <f t="shared" ref="H49:I49" si="4">SUM(H43:H48)</f>
        <v>1</v>
      </c>
      <c r="I49" s="28">
        <f t="shared" si="4"/>
        <v>1</v>
      </c>
    </row>
  </sheetData>
  <mergeCells count="8">
    <mergeCell ref="R16:T21"/>
    <mergeCell ref="B21:D21"/>
    <mergeCell ref="M21:O21"/>
    <mergeCell ref="A16:A19"/>
    <mergeCell ref="B16:B19"/>
    <mergeCell ref="C16:C19"/>
    <mergeCell ref="D16:D19"/>
    <mergeCell ref="G16:I2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13F23-3955-1040-80D7-283804922E99}">
  <dimension ref="A1:T48"/>
  <sheetViews>
    <sheetView topLeftCell="G1" zoomScale="75" zoomScaleNormal="100" workbookViewId="0">
      <selection activeCell="C28" sqref="C28"/>
    </sheetView>
  </sheetViews>
  <sheetFormatPr baseColWidth="10" defaultRowHeight="16" x14ac:dyDescent="0.2"/>
  <cols>
    <col min="1" max="1" width="13.1640625" customWidth="1"/>
    <col min="2" max="2" width="17.5" customWidth="1"/>
    <col min="14" max="14" width="17.5" customWidth="1"/>
  </cols>
  <sheetData>
    <row r="1" spans="1:20" ht="51" x14ac:dyDescent="0.2">
      <c r="A1" s="1" t="s">
        <v>0</v>
      </c>
      <c r="B1" s="1" t="s">
        <v>1</v>
      </c>
      <c r="D1" s="18" t="s">
        <v>2</v>
      </c>
      <c r="E1" s="16"/>
      <c r="F1" s="16">
        <v>0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1:20" x14ac:dyDescent="0.2">
      <c r="A2" s="9">
        <v>104</v>
      </c>
      <c r="B2" s="5">
        <v>0</v>
      </c>
      <c r="D2" s="18" t="s">
        <v>3</v>
      </c>
      <c r="E2" s="16"/>
      <c r="F2" s="16">
        <v>1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0" x14ac:dyDescent="0.2">
      <c r="A3" s="9">
        <v>114</v>
      </c>
      <c r="B3" s="5">
        <v>0</v>
      </c>
      <c r="C3" s="27"/>
      <c r="D3" s="18" t="s">
        <v>4</v>
      </c>
      <c r="E3" s="16"/>
      <c r="F3" s="16">
        <v>2</v>
      </c>
    </row>
    <row r="4" spans="1:20" x14ac:dyDescent="0.2">
      <c r="A4" s="9">
        <v>118</v>
      </c>
      <c r="B4" s="5">
        <v>4</v>
      </c>
      <c r="D4" s="18" t="s">
        <v>5</v>
      </c>
      <c r="E4" s="16"/>
      <c r="F4" s="16">
        <v>3</v>
      </c>
    </row>
    <row r="5" spans="1:20" x14ac:dyDescent="0.2">
      <c r="A5" s="9">
        <v>118</v>
      </c>
      <c r="B5" s="9">
        <v>0</v>
      </c>
      <c r="D5" s="18" t="s">
        <v>6</v>
      </c>
      <c r="E5" s="16"/>
      <c r="F5" s="16">
        <v>4</v>
      </c>
    </row>
    <row r="6" spans="1:20" x14ac:dyDescent="0.2">
      <c r="A6" s="9">
        <v>144</v>
      </c>
      <c r="B6" s="5">
        <v>4</v>
      </c>
      <c r="D6" s="16" t="s">
        <v>7</v>
      </c>
      <c r="E6" s="16"/>
      <c r="F6" s="16">
        <v>5</v>
      </c>
    </row>
    <row r="7" spans="1:20" x14ac:dyDescent="0.2">
      <c r="A7" s="9">
        <v>168</v>
      </c>
      <c r="B7" s="5">
        <v>1</v>
      </c>
      <c r="D7" s="16" t="s">
        <v>8</v>
      </c>
      <c r="E7" s="16"/>
      <c r="F7" s="16">
        <v>6</v>
      </c>
    </row>
    <row r="8" spans="1:20" x14ac:dyDescent="0.2">
      <c r="A8" s="9">
        <v>168</v>
      </c>
      <c r="B8" s="5">
        <v>4</v>
      </c>
      <c r="D8" s="16" t="s">
        <v>9</v>
      </c>
      <c r="E8" s="16"/>
      <c r="F8" s="16">
        <v>7</v>
      </c>
    </row>
    <row r="9" spans="1:20" x14ac:dyDescent="0.2">
      <c r="A9" s="9">
        <v>170</v>
      </c>
      <c r="B9" s="5">
        <v>5</v>
      </c>
      <c r="D9" s="16" t="s">
        <v>10</v>
      </c>
      <c r="E9" s="16"/>
      <c r="F9" s="16">
        <v>8</v>
      </c>
    </row>
    <row r="10" spans="1:20" x14ac:dyDescent="0.2">
      <c r="A10" s="9">
        <v>172</v>
      </c>
      <c r="B10" s="5">
        <v>8</v>
      </c>
      <c r="D10" s="16" t="s">
        <v>11</v>
      </c>
      <c r="E10" s="16"/>
      <c r="F10" s="16">
        <v>9</v>
      </c>
    </row>
    <row r="11" spans="1:20" x14ac:dyDescent="0.2">
      <c r="A11" s="9">
        <v>179</v>
      </c>
      <c r="B11" s="5">
        <v>1</v>
      </c>
      <c r="D11" s="16" t="s">
        <v>12</v>
      </c>
      <c r="E11" s="16"/>
      <c r="F11" s="16">
        <v>10</v>
      </c>
    </row>
    <row r="12" spans="1:20" x14ac:dyDescent="0.2">
      <c r="A12" s="9">
        <v>202</v>
      </c>
      <c r="B12" s="5">
        <v>2</v>
      </c>
    </row>
    <row r="13" spans="1:20" x14ac:dyDescent="0.2">
      <c r="A13" s="9">
        <v>225</v>
      </c>
      <c r="B13" s="5">
        <v>1</v>
      </c>
      <c r="D13" s="31"/>
      <c r="E13" s="31"/>
      <c r="F13" s="31"/>
    </row>
    <row r="14" spans="1:20" x14ac:dyDescent="0.2">
      <c r="A14" s="9">
        <v>225</v>
      </c>
      <c r="B14" s="5">
        <v>4</v>
      </c>
      <c r="D14" s="31"/>
      <c r="E14" s="31"/>
      <c r="F14" s="31"/>
      <c r="G14" s="6"/>
    </row>
    <row r="15" spans="1:20" x14ac:dyDescent="0.2">
      <c r="A15" s="9">
        <v>229</v>
      </c>
      <c r="B15" s="5">
        <v>9</v>
      </c>
      <c r="D15" s="31"/>
      <c r="E15" s="31"/>
      <c r="F15" s="31"/>
      <c r="G15" s="33"/>
    </row>
    <row r="16" spans="1:20" x14ac:dyDescent="0.2">
      <c r="A16" s="9">
        <v>242</v>
      </c>
      <c r="B16" s="5">
        <v>1</v>
      </c>
      <c r="D16" s="31"/>
      <c r="E16" s="31"/>
      <c r="F16" s="31"/>
      <c r="G16" s="33"/>
    </row>
    <row r="17" spans="1:18" x14ac:dyDescent="0.2">
      <c r="A17" s="9">
        <v>242</v>
      </c>
      <c r="B17" s="5">
        <v>1</v>
      </c>
      <c r="D17" s="31"/>
      <c r="E17" s="31"/>
      <c r="F17" s="31"/>
    </row>
    <row r="18" spans="1:18" x14ac:dyDescent="0.2">
      <c r="A18" s="9">
        <v>242</v>
      </c>
      <c r="B18" s="9">
        <v>0</v>
      </c>
      <c r="D18" s="31"/>
      <c r="E18" s="31"/>
      <c r="F18" s="31"/>
    </row>
    <row r="19" spans="1:18" x14ac:dyDescent="0.2">
      <c r="A19" s="9">
        <v>242</v>
      </c>
      <c r="B19" s="9">
        <v>0</v>
      </c>
      <c r="D19" s="31"/>
      <c r="E19" s="31"/>
      <c r="F19" s="31"/>
    </row>
    <row r="20" spans="1:18" x14ac:dyDescent="0.2">
      <c r="A20" s="9">
        <v>259</v>
      </c>
      <c r="B20" s="5">
        <v>3</v>
      </c>
    </row>
    <row r="21" spans="1:18" x14ac:dyDescent="0.2">
      <c r="A21" s="9">
        <v>261</v>
      </c>
      <c r="B21" s="5">
        <v>4</v>
      </c>
    </row>
    <row r="22" spans="1:18" x14ac:dyDescent="0.2">
      <c r="A22" s="9">
        <v>261</v>
      </c>
      <c r="B22" s="9">
        <v>0</v>
      </c>
    </row>
    <row r="23" spans="1:18" x14ac:dyDescent="0.2">
      <c r="A23" s="9">
        <v>272</v>
      </c>
      <c r="B23" s="5">
        <v>0</v>
      </c>
      <c r="F23" s="6" t="s">
        <v>15</v>
      </c>
      <c r="G23" s="6" t="s">
        <v>3</v>
      </c>
      <c r="H23" s="6" t="s">
        <v>6</v>
      </c>
      <c r="I23" s="6" t="s">
        <v>32</v>
      </c>
      <c r="J23" s="6" t="s">
        <v>4</v>
      </c>
      <c r="K23" s="6" t="s">
        <v>8</v>
      </c>
      <c r="L23" s="6" t="s">
        <v>33</v>
      </c>
      <c r="M23" s="6" t="s">
        <v>14</v>
      </c>
      <c r="N23" s="6" t="s">
        <v>7</v>
      </c>
      <c r="O23" s="6" t="s">
        <v>9</v>
      </c>
      <c r="P23" s="6" t="s">
        <v>12</v>
      </c>
      <c r="R23" s="6" t="s">
        <v>162</v>
      </c>
    </row>
    <row r="24" spans="1:18" x14ac:dyDescent="0.2">
      <c r="A24" s="9">
        <v>294</v>
      </c>
      <c r="B24" s="5">
        <v>0</v>
      </c>
      <c r="E24" t="s">
        <v>156</v>
      </c>
      <c r="F24">
        <v>9</v>
      </c>
      <c r="G24">
        <v>5</v>
      </c>
      <c r="H24">
        <v>5</v>
      </c>
      <c r="I24">
        <v>1</v>
      </c>
      <c r="J24">
        <v>1</v>
      </c>
      <c r="K24">
        <v>2</v>
      </c>
      <c r="L24">
        <v>1</v>
      </c>
      <c r="M24">
        <v>1</v>
      </c>
      <c r="N24">
        <v>1</v>
      </c>
      <c r="O24">
        <v>0</v>
      </c>
      <c r="P24">
        <v>1</v>
      </c>
      <c r="R24" t="s">
        <v>163</v>
      </c>
    </row>
    <row r="25" spans="1:18" x14ac:dyDescent="0.2">
      <c r="A25" s="9">
        <v>309</v>
      </c>
      <c r="B25" s="5">
        <v>6</v>
      </c>
      <c r="E25" t="s">
        <v>157</v>
      </c>
      <c r="F25">
        <v>4</v>
      </c>
      <c r="G25">
        <v>3</v>
      </c>
      <c r="H25">
        <v>1</v>
      </c>
      <c r="I25">
        <v>1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R25" t="s">
        <v>164</v>
      </c>
    </row>
    <row r="26" spans="1:18" x14ac:dyDescent="0.2">
      <c r="A26" s="9">
        <v>336</v>
      </c>
      <c r="B26" s="5">
        <v>0</v>
      </c>
      <c r="E26" t="s">
        <v>158</v>
      </c>
      <c r="F26">
        <v>2</v>
      </c>
      <c r="G26">
        <v>1</v>
      </c>
      <c r="H26">
        <v>0</v>
      </c>
      <c r="I26">
        <v>2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R26" t="s">
        <v>165</v>
      </c>
    </row>
    <row r="27" spans="1:18" x14ac:dyDescent="0.2">
      <c r="A27" s="9">
        <v>370</v>
      </c>
      <c r="B27" s="5">
        <v>10</v>
      </c>
      <c r="E27" t="s">
        <v>159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</row>
    <row r="28" spans="1:18" x14ac:dyDescent="0.2">
      <c r="A28" s="9">
        <v>400</v>
      </c>
      <c r="B28" s="5">
        <v>6</v>
      </c>
      <c r="E28" t="s">
        <v>160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8" x14ac:dyDescent="0.2">
      <c r="A29" s="9">
        <v>410</v>
      </c>
      <c r="B29" s="5">
        <v>3</v>
      </c>
      <c r="E29" t="s">
        <v>161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8" x14ac:dyDescent="0.2">
      <c r="A30" s="9">
        <v>420</v>
      </c>
      <c r="B30" s="5">
        <v>0</v>
      </c>
    </row>
    <row r="31" spans="1:18" x14ac:dyDescent="0.2">
      <c r="A31" s="9">
        <v>468</v>
      </c>
      <c r="B31" s="5">
        <v>0</v>
      </c>
    </row>
    <row r="32" spans="1:18" x14ac:dyDescent="0.2">
      <c r="A32" s="9">
        <v>474</v>
      </c>
      <c r="B32" s="5">
        <v>0</v>
      </c>
      <c r="F32" s="6" t="s">
        <v>15</v>
      </c>
      <c r="G32" s="6" t="s">
        <v>3</v>
      </c>
      <c r="H32" s="6" t="s">
        <v>6</v>
      </c>
      <c r="I32" s="6" t="s">
        <v>32</v>
      </c>
      <c r="J32" s="6" t="s">
        <v>4</v>
      </c>
      <c r="K32" s="6" t="s">
        <v>8</v>
      </c>
      <c r="L32" s="6" t="s">
        <v>33</v>
      </c>
      <c r="M32" s="6" t="s">
        <v>14</v>
      </c>
      <c r="N32" s="6" t="s">
        <v>7</v>
      </c>
      <c r="O32" s="6" t="s">
        <v>9</v>
      </c>
      <c r="P32" s="6" t="s">
        <v>12</v>
      </c>
    </row>
    <row r="33" spans="1:16" x14ac:dyDescent="0.2">
      <c r="A33" s="9">
        <v>474</v>
      </c>
      <c r="B33" s="9">
        <v>9</v>
      </c>
      <c r="E33" t="s">
        <v>28</v>
      </c>
      <c r="F33">
        <f>F24+F25</f>
        <v>13</v>
      </c>
      <c r="G33">
        <f t="shared" ref="G33:P33" si="0">G24+G25</f>
        <v>8</v>
      </c>
      <c r="H33">
        <f t="shared" si="0"/>
        <v>6</v>
      </c>
      <c r="I33">
        <f t="shared" si="0"/>
        <v>2</v>
      </c>
      <c r="J33">
        <f t="shared" si="0"/>
        <v>1</v>
      </c>
      <c r="K33">
        <f t="shared" si="0"/>
        <v>2</v>
      </c>
      <c r="L33">
        <f t="shared" si="0"/>
        <v>2</v>
      </c>
      <c r="M33">
        <f t="shared" si="0"/>
        <v>1</v>
      </c>
      <c r="N33">
        <f t="shared" si="0"/>
        <v>1</v>
      </c>
      <c r="O33">
        <f t="shared" si="0"/>
        <v>0</v>
      </c>
      <c r="P33">
        <f t="shared" si="0"/>
        <v>1</v>
      </c>
    </row>
    <row r="34" spans="1:16" x14ac:dyDescent="0.2">
      <c r="A34" s="9">
        <v>514</v>
      </c>
      <c r="B34" s="5">
        <v>0</v>
      </c>
      <c r="E34" t="s">
        <v>29</v>
      </c>
      <c r="F34">
        <f>F26+F27</f>
        <v>2</v>
      </c>
      <c r="G34">
        <f t="shared" ref="G34:P34" si="1">G26+G27</f>
        <v>2</v>
      </c>
      <c r="H34">
        <f t="shared" si="1"/>
        <v>0</v>
      </c>
      <c r="I34">
        <f t="shared" si="1"/>
        <v>2</v>
      </c>
      <c r="J34">
        <f t="shared" si="1"/>
        <v>1</v>
      </c>
      <c r="K34">
        <f t="shared" si="1"/>
        <v>0</v>
      </c>
      <c r="L34">
        <f t="shared" si="1"/>
        <v>0</v>
      </c>
      <c r="M34">
        <f t="shared" si="1"/>
        <v>0</v>
      </c>
      <c r="N34">
        <f t="shared" si="1"/>
        <v>0</v>
      </c>
      <c r="O34">
        <f t="shared" si="1"/>
        <v>1</v>
      </c>
      <c r="P34">
        <f t="shared" si="1"/>
        <v>0</v>
      </c>
    </row>
    <row r="35" spans="1:16" x14ac:dyDescent="0.2">
      <c r="A35" s="9">
        <v>529</v>
      </c>
      <c r="B35" s="5">
        <v>4</v>
      </c>
      <c r="E35" t="s">
        <v>30</v>
      </c>
      <c r="F35">
        <f>F28+F29</f>
        <v>2</v>
      </c>
      <c r="G35">
        <f t="shared" ref="G35:P35" si="2">G28+G29</f>
        <v>0</v>
      </c>
      <c r="H35">
        <f t="shared" si="2"/>
        <v>0</v>
      </c>
      <c r="I35">
        <f t="shared" si="2"/>
        <v>0</v>
      </c>
      <c r="J35">
        <f t="shared" si="2"/>
        <v>0</v>
      </c>
      <c r="K35">
        <f t="shared" si="2"/>
        <v>0</v>
      </c>
      <c r="L35">
        <f t="shared" si="2"/>
        <v>0</v>
      </c>
      <c r="M35">
        <f t="shared" si="2"/>
        <v>0</v>
      </c>
      <c r="N35">
        <f t="shared" si="2"/>
        <v>0</v>
      </c>
      <c r="O35">
        <f t="shared" si="2"/>
        <v>0</v>
      </c>
      <c r="P35">
        <f t="shared" si="2"/>
        <v>0</v>
      </c>
    </row>
    <row r="36" spans="1:16" x14ac:dyDescent="0.2">
      <c r="A36" s="9">
        <v>530</v>
      </c>
      <c r="B36" s="5">
        <v>1</v>
      </c>
      <c r="E36" t="s">
        <v>31</v>
      </c>
      <c r="F36">
        <f>F30</f>
        <v>0</v>
      </c>
      <c r="G36">
        <f t="shared" ref="G36:P36" si="3">G30</f>
        <v>0</v>
      </c>
      <c r="H36">
        <f t="shared" si="3"/>
        <v>0</v>
      </c>
      <c r="I36">
        <f t="shared" si="3"/>
        <v>0</v>
      </c>
      <c r="J36">
        <f t="shared" si="3"/>
        <v>0</v>
      </c>
      <c r="K36">
        <f t="shared" si="3"/>
        <v>0</v>
      </c>
      <c r="L36">
        <f t="shared" si="3"/>
        <v>0</v>
      </c>
      <c r="M36">
        <f t="shared" si="3"/>
        <v>0</v>
      </c>
      <c r="N36">
        <f t="shared" si="3"/>
        <v>0</v>
      </c>
      <c r="O36">
        <f t="shared" si="3"/>
        <v>0</v>
      </c>
      <c r="P36">
        <f t="shared" si="3"/>
        <v>0</v>
      </c>
    </row>
    <row r="37" spans="1:16" x14ac:dyDescent="0.2">
      <c r="A37" s="9">
        <v>549</v>
      </c>
      <c r="B37" s="5">
        <v>1</v>
      </c>
    </row>
    <row r="38" spans="1:16" x14ac:dyDescent="0.2">
      <c r="A38" s="9">
        <v>688</v>
      </c>
      <c r="B38" s="5">
        <v>1</v>
      </c>
      <c r="F38" s="6" t="s">
        <v>15</v>
      </c>
      <c r="G38" s="6" t="s">
        <v>3</v>
      </c>
      <c r="H38" s="6" t="s">
        <v>6</v>
      </c>
      <c r="I38" s="6" t="s">
        <v>32</v>
      </c>
      <c r="J38" s="6" t="s">
        <v>4</v>
      </c>
      <c r="K38" s="6" t="s">
        <v>8</v>
      </c>
      <c r="L38" s="6" t="s">
        <v>33</v>
      </c>
      <c r="M38" s="6" t="s">
        <v>14</v>
      </c>
      <c r="N38" s="6" t="s">
        <v>7</v>
      </c>
      <c r="O38" s="6" t="s">
        <v>9</v>
      </c>
      <c r="P38" s="6" t="s">
        <v>12</v>
      </c>
    </row>
    <row r="39" spans="1:16" x14ac:dyDescent="0.2">
      <c r="A39" s="9">
        <v>725</v>
      </c>
      <c r="B39" s="5">
        <v>3</v>
      </c>
      <c r="E39" t="s">
        <v>156</v>
      </c>
      <c r="F39">
        <v>9</v>
      </c>
      <c r="G39">
        <v>5</v>
      </c>
      <c r="H39">
        <v>5</v>
      </c>
      <c r="I39">
        <v>1</v>
      </c>
      <c r="J39">
        <v>1</v>
      </c>
      <c r="K39">
        <v>2</v>
      </c>
      <c r="L39">
        <v>1</v>
      </c>
      <c r="M39">
        <v>1</v>
      </c>
      <c r="N39">
        <v>1</v>
      </c>
      <c r="O39">
        <v>0</v>
      </c>
      <c r="P39">
        <v>1</v>
      </c>
    </row>
    <row r="40" spans="1:16" x14ac:dyDescent="0.2">
      <c r="A40" s="9">
        <v>784</v>
      </c>
      <c r="B40" s="5">
        <v>1</v>
      </c>
      <c r="E40" t="s">
        <v>157</v>
      </c>
      <c r="F40">
        <v>4</v>
      </c>
      <c r="G40">
        <v>3</v>
      </c>
      <c r="H40">
        <v>1</v>
      </c>
      <c r="I40">
        <v>1</v>
      </c>
      <c r="J40">
        <v>0</v>
      </c>
      <c r="K40">
        <v>0</v>
      </c>
      <c r="L40">
        <v>1</v>
      </c>
      <c r="M40">
        <v>0</v>
      </c>
      <c r="N40">
        <v>0</v>
      </c>
      <c r="O40">
        <v>0</v>
      </c>
      <c r="P40">
        <v>0</v>
      </c>
    </row>
    <row r="41" spans="1:16" x14ac:dyDescent="0.2">
      <c r="A41" s="9">
        <v>804</v>
      </c>
      <c r="B41" s="5">
        <v>0</v>
      </c>
      <c r="E41" t="s">
        <v>158</v>
      </c>
      <c r="F41">
        <v>2</v>
      </c>
      <c r="G41">
        <v>1</v>
      </c>
      <c r="H41">
        <v>0</v>
      </c>
      <c r="I41">
        <v>2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 x14ac:dyDescent="0.2">
      <c r="A42" s="9">
        <v>804</v>
      </c>
      <c r="B42" s="9">
        <v>3</v>
      </c>
      <c r="E42" t="s">
        <v>159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</row>
    <row r="43" spans="1:16" x14ac:dyDescent="0.2">
      <c r="A43" s="9">
        <v>882</v>
      </c>
      <c r="B43" s="5">
        <v>0</v>
      </c>
      <c r="E43" t="s">
        <v>160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1:16" x14ac:dyDescent="0.2">
      <c r="A44" s="9">
        <v>907</v>
      </c>
      <c r="B44" s="5">
        <v>2</v>
      </c>
      <c r="E44" t="s">
        <v>161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16" x14ac:dyDescent="0.2">
      <c r="A45" s="9">
        <v>1101</v>
      </c>
      <c r="B45" s="5">
        <v>7</v>
      </c>
    </row>
    <row r="46" spans="1:16" x14ac:dyDescent="0.2">
      <c r="A46">
        <v>1222</v>
      </c>
      <c r="B46" s="2">
        <v>1</v>
      </c>
    </row>
    <row r="47" spans="1:16" x14ac:dyDescent="0.2">
      <c r="A47">
        <v>1329</v>
      </c>
      <c r="B47" s="2">
        <v>0</v>
      </c>
    </row>
    <row r="48" spans="1:16" x14ac:dyDescent="0.2">
      <c r="A48">
        <v>1896</v>
      </c>
      <c r="B48" s="2">
        <v>0</v>
      </c>
    </row>
  </sheetData>
  <mergeCells count="2">
    <mergeCell ref="G15:G16"/>
    <mergeCell ref="D13:F1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DA085-CD3D-CF4D-9E1A-D04B8163F2F8}">
  <dimension ref="A1:G45"/>
  <sheetViews>
    <sheetView topLeftCell="F16" workbookViewId="0">
      <selection activeCell="F10" sqref="F10:G24"/>
    </sheetView>
  </sheetViews>
  <sheetFormatPr baseColWidth="10" defaultRowHeight="16" x14ac:dyDescent="0.2"/>
  <sheetData>
    <row r="1" spans="1:7" x14ac:dyDescent="0.2">
      <c r="B1" s="30" t="s">
        <v>27</v>
      </c>
      <c r="C1" s="30"/>
      <c r="D1" s="30"/>
    </row>
    <row r="2" spans="1:7" x14ac:dyDescent="0.2">
      <c r="B2" t="s">
        <v>16</v>
      </c>
      <c r="C2" t="s">
        <v>17</v>
      </c>
      <c r="D2" t="s">
        <v>18</v>
      </c>
      <c r="E2" t="s">
        <v>19</v>
      </c>
    </row>
    <row r="3" spans="1:7" x14ac:dyDescent="0.2">
      <c r="A3" t="s">
        <v>20</v>
      </c>
      <c r="B3">
        <v>10</v>
      </c>
      <c r="C3">
        <v>6</v>
      </c>
      <c r="D3">
        <v>6</v>
      </c>
      <c r="E3">
        <f>SUM(B3:D3)</f>
        <v>22</v>
      </c>
    </row>
    <row r="4" spans="1:7" x14ac:dyDescent="0.2">
      <c r="A4" t="s">
        <v>21</v>
      </c>
      <c r="B4">
        <v>8</v>
      </c>
      <c r="C4">
        <v>4</v>
      </c>
      <c r="D4">
        <v>1</v>
      </c>
      <c r="E4">
        <f t="shared" ref="E4:E9" si="0">SUM(B4:D4)</f>
        <v>13</v>
      </c>
    </row>
    <row r="5" spans="1:7" x14ac:dyDescent="0.2">
      <c r="A5" t="s">
        <v>22</v>
      </c>
      <c r="B5">
        <v>5</v>
      </c>
      <c r="C5">
        <v>2</v>
      </c>
      <c r="D5">
        <v>0</v>
      </c>
      <c r="E5">
        <f t="shared" si="0"/>
        <v>7</v>
      </c>
    </row>
    <row r="6" spans="1:7" x14ac:dyDescent="0.2">
      <c r="A6" t="s">
        <v>23</v>
      </c>
      <c r="B6">
        <v>0</v>
      </c>
      <c r="C6">
        <v>1</v>
      </c>
      <c r="D6">
        <v>1</v>
      </c>
      <c r="E6">
        <f t="shared" si="0"/>
        <v>2</v>
      </c>
    </row>
    <row r="7" spans="1:7" x14ac:dyDescent="0.2">
      <c r="A7" t="s">
        <v>24</v>
      </c>
      <c r="B7">
        <v>1</v>
      </c>
      <c r="C7">
        <v>1</v>
      </c>
      <c r="D7">
        <v>0</v>
      </c>
      <c r="E7">
        <f t="shared" si="0"/>
        <v>2</v>
      </c>
    </row>
    <row r="8" spans="1:7" x14ac:dyDescent="0.2">
      <c r="A8" t="s">
        <v>25</v>
      </c>
      <c r="B8">
        <v>0</v>
      </c>
      <c r="C8">
        <v>0</v>
      </c>
      <c r="D8">
        <v>0</v>
      </c>
      <c r="E8">
        <f t="shared" si="0"/>
        <v>0</v>
      </c>
    </row>
    <row r="9" spans="1:7" x14ac:dyDescent="0.2">
      <c r="A9" t="s">
        <v>26</v>
      </c>
      <c r="B9">
        <v>1</v>
      </c>
      <c r="C9">
        <v>0</v>
      </c>
      <c r="D9">
        <v>0</v>
      </c>
      <c r="E9">
        <f t="shared" si="0"/>
        <v>1</v>
      </c>
    </row>
    <row r="10" spans="1:7" x14ac:dyDescent="0.2">
      <c r="F10" s="31" t="s">
        <v>172</v>
      </c>
      <c r="G10" s="31"/>
    </row>
    <row r="11" spans="1:7" x14ac:dyDescent="0.2">
      <c r="F11" s="31"/>
      <c r="G11" s="31"/>
    </row>
    <row r="12" spans="1:7" x14ac:dyDescent="0.2">
      <c r="F12" s="31"/>
      <c r="G12" s="31"/>
    </row>
    <row r="13" spans="1:7" x14ac:dyDescent="0.2">
      <c r="F13" s="31"/>
      <c r="G13" s="31"/>
    </row>
    <row r="14" spans="1:7" x14ac:dyDescent="0.2">
      <c r="F14" s="31"/>
      <c r="G14" s="31"/>
    </row>
    <row r="15" spans="1:7" x14ac:dyDescent="0.2">
      <c r="F15" s="31"/>
      <c r="G15" s="31"/>
    </row>
    <row r="16" spans="1:7" x14ac:dyDescent="0.2">
      <c r="F16" s="31"/>
      <c r="G16" s="31"/>
    </row>
    <row r="17" spans="1:7" x14ac:dyDescent="0.2">
      <c r="B17" s="6" t="s">
        <v>16</v>
      </c>
      <c r="C17" s="6" t="s">
        <v>17</v>
      </c>
      <c r="D17" s="6" t="s">
        <v>18</v>
      </c>
      <c r="E17" s="6" t="s">
        <v>19</v>
      </c>
      <c r="F17" s="31"/>
      <c r="G17" s="31"/>
    </row>
    <row r="18" spans="1:7" x14ac:dyDescent="0.2">
      <c r="A18" t="s">
        <v>28</v>
      </c>
      <c r="B18">
        <v>18</v>
      </c>
      <c r="C18">
        <v>10</v>
      </c>
      <c r="D18">
        <v>7</v>
      </c>
      <c r="E18">
        <v>35</v>
      </c>
      <c r="F18" s="31"/>
      <c r="G18" s="31"/>
    </row>
    <row r="19" spans="1:7" x14ac:dyDescent="0.2">
      <c r="A19" t="s">
        <v>29</v>
      </c>
      <c r="B19">
        <v>5</v>
      </c>
      <c r="C19">
        <v>3</v>
      </c>
      <c r="D19">
        <v>1</v>
      </c>
      <c r="E19">
        <v>9</v>
      </c>
      <c r="F19" s="31"/>
      <c r="G19" s="31"/>
    </row>
    <row r="20" spans="1:7" x14ac:dyDescent="0.2">
      <c r="A20" t="s">
        <v>30</v>
      </c>
      <c r="B20">
        <v>1</v>
      </c>
      <c r="C20">
        <v>1</v>
      </c>
      <c r="D20">
        <v>0</v>
      </c>
      <c r="E20">
        <v>2</v>
      </c>
      <c r="F20" s="31"/>
      <c r="G20" s="31"/>
    </row>
    <row r="21" spans="1:7" x14ac:dyDescent="0.2">
      <c r="A21" t="s">
        <v>31</v>
      </c>
      <c r="B21" s="16">
        <v>1</v>
      </c>
      <c r="C21" s="16">
        <v>0</v>
      </c>
      <c r="D21" s="16">
        <v>0</v>
      </c>
      <c r="E21" s="16">
        <v>1</v>
      </c>
      <c r="F21" s="31"/>
      <c r="G21" s="31"/>
    </row>
    <row r="22" spans="1:7" x14ac:dyDescent="0.2">
      <c r="F22" s="31"/>
      <c r="G22" s="31"/>
    </row>
    <row r="23" spans="1:7" x14ac:dyDescent="0.2">
      <c r="B23" s="6"/>
      <c r="C23" s="6"/>
      <c r="D23" s="6"/>
      <c r="E23" s="6"/>
      <c r="F23" s="31"/>
      <c r="G23" s="31"/>
    </row>
    <row r="24" spans="1:7" x14ac:dyDescent="0.2">
      <c r="B24" s="6" t="s">
        <v>16</v>
      </c>
      <c r="C24" s="6" t="s">
        <v>17</v>
      </c>
      <c r="D24" s="6" t="s">
        <v>18</v>
      </c>
      <c r="F24" s="31"/>
      <c r="G24" s="31"/>
    </row>
    <row r="25" spans="1:7" x14ac:dyDescent="0.2">
      <c r="A25" t="s">
        <v>28</v>
      </c>
      <c r="B25" s="8">
        <f>B18/35</f>
        <v>0.51428571428571423</v>
      </c>
      <c r="C25" s="8">
        <f t="shared" ref="C25:D25" si="1">C18/35</f>
        <v>0.2857142857142857</v>
      </c>
      <c r="D25" s="8">
        <f t="shared" si="1"/>
        <v>0.2</v>
      </c>
    </row>
    <row r="26" spans="1:7" x14ac:dyDescent="0.2">
      <c r="A26" t="s">
        <v>29</v>
      </c>
      <c r="B26" s="8">
        <f>B19/9</f>
        <v>0.55555555555555558</v>
      </c>
      <c r="C26" s="8">
        <f t="shared" ref="C26:D26" si="2">C19/9</f>
        <v>0.33333333333333331</v>
      </c>
      <c r="D26" s="8">
        <f t="shared" si="2"/>
        <v>0.1111111111111111</v>
      </c>
    </row>
    <row r="27" spans="1:7" x14ac:dyDescent="0.2">
      <c r="A27" t="s">
        <v>30</v>
      </c>
      <c r="B27" s="8">
        <f>B20/2</f>
        <v>0.5</v>
      </c>
      <c r="C27" s="8">
        <f t="shared" ref="C27:D27" si="3">C20/2</f>
        <v>0.5</v>
      </c>
      <c r="D27" s="8">
        <f t="shared" si="3"/>
        <v>0</v>
      </c>
    </row>
    <row r="28" spans="1:7" x14ac:dyDescent="0.2">
      <c r="A28" t="s">
        <v>31</v>
      </c>
      <c r="B28" s="17">
        <f>B21/1</f>
        <v>1</v>
      </c>
      <c r="C28" s="17">
        <f t="shared" ref="C28:D28" si="4">C21/1</f>
        <v>0</v>
      </c>
      <c r="D28" s="17">
        <f t="shared" si="4"/>
        <v>0</v>
      </c>
    </row>
    <row r="32" spans="1:7" x14ac:dyDescent="0.2">
      <c r="B32" s="6" t="s">
        <v>16</v>
      </c>
      <c r="C32" s="6" t="s">
        <v>166</v>
      </c>
      <c r="D32" s="6" t="s">
        <v>18</v>
      </c>
      <c r="E32" s="6" t="s">
        <v>19</v>
      </c>
    </row>
    <row r="33" spans="1:5" x14ac:dyDescent="0.2">
      <c r="A33" t="s">
        <v>156</v>
      </c>
      <c r="B33">
        <v>11</v>
      </c>
      <c r="C33">
        <v>8</v>
      </c>
      <c r="D33">
        <v>6</v>
      </c>
      <c r="E33">
        <f>SUM(B33:D33)</f>
        <v>25</v>
      </c>
    </row>
    <row r="34" spans="1:5" x14ac:dyDescent="0.2">
      <c r="A34" t="s">
        <v>157</v>
      </c>
      <c r="B34">
        <v>6</v>
      </c>
      <c r="C34">
        <v>3</v>
      </c>
      <c r="D34">
        <v>1</v>
      </c>
      <c r="E34">
        <f t="shared" ref="E34:E38" si="5">SUM(B34:D34)</f>
        <v>10</v>
      </c>
    </row>
    <row r="35" spans="1:5" x14ac:dyDescent="0.2">
      <c r="A35" t="s">
        <v>158</v>
      </c>
      <c r="B35">
        <v>4</v>
      </c>
      <c r="C35">
        <v>1</v>
      </c>
      <c r="D35">
        <v>1</v>
      </c>
      <c r="E35">
        <f t="shared" si="5"/>
        <v>6</v>
      </c>
    </row>
    <row r="36" spans="1:5" x14ac:dyDescent="0.2">
      <c r="A36" t="s">
        <v>159</v>
      </c>
      <c r="B36">
        <v>0</v>
      </c>
      <c r="C36">
        <v>2</v>
      </c>
      <c r="D36">
        <v>0</v>
      </c>
      <c r="E36">
        <f t="shared" si="5"/>
        <v>2</v>
      </c>
    </row>
    <row r="37" spans="1:5" x14ac:dyDescent="0.2">
      <c r="A37" t="s">
        <v>160</v>
      </c>
      <c r="B37">
        <v>1</v>
      </c>
      <c r="C37">
        <v>0</v>
      </c>
      <c r="D37">
        <v>0</v>
      </c>
      <c r="E37">
        <f t="shared" si="5"/>
        <v>1</v>
      </c>
    </row>
    <row r="38" spans="1:5" x14ac:dyDescent="0.2">
      <c r="A38" t="s">
        <v>161</v>
      </c>
      <c r="B38">
        <v>1</v>
      </c>
      <c r="C38">
        <v>0</v>
      </c>
      <c r="D38">
        <v>0</v>
      </c>
      <c r="E38">
        <f t="shared" si="5"/>
        <v>1</v>
      </c>
    </row>
    <row r="39" spans="1:5" x14ac:dyDescent="0.2">
      <c r="B39" s="6" t="s">
        <v>16</v>
      </c>
      <c r="C39" s="6" t="s">
        <v>166</v>
      </c>
      <c r="D39" s="6" t="s">
        <v>18</v>
      </c>
      <c r="E39" s="6" t="s">
        <v>19</v>
      </c>
    </row>
    <row r="40" spans="1:5" x14ac:dyDescent="0.2">
      <c r="A40" t="s">
        <v>156</v>
      </c>
      <c r="B40">
        <f>B33/E33</f>
        <v>0.44</v>
      </c>
      <c r="C40">
        <f>C33/E33</f>
        <v>0.32</v>
      </c>
      <c r="D40">
        <f>D33/E33</f>
        <v>0.24</v>
      </c>
      <c r="E40">
        <v>25</v>
      </c>
    </row>
    <row r="41" spans="1:5" x14ac:dyDescent="0.2">
      <c r="A41" t="s">
        <v>157</v>
      </c>
      <c r="B41">
        <f t="shared" ref="B41:B45" si="6">B34/E34</f>
        <v>0.6</v>
      </c>
      <c r="C41">
        <f t="shared" ref="C41:C45" si="7">C34/E34</f>
        <v>0.3</v>
      </c>
      <c r="D41">
        <f t="shared" ref="D41:D45" si="8">D34/E34</f>
        <v>0.1</v>
      </c>
      <c r="E41">
        <v>10</v>
      </c>
    </row>
    <row r="42" spans="1:5" x14ac:dyDescent="0.2">
      <c r="A42" t="s">
        <v>158</v>
      </c>
      <c r="B42">
        <f t="shared" si="6"/>
        <v>0.66666666666666663</v>
      </c>
      <c r="C42">
        <f t="shared" si="7"/>
        <v>0.16666666666666666</v>
      </c>
      <c r="D42">
        <f t="shared" si="8"/>
        <v>0.16666666666666666</v>
      </c>
      <c r="E42">
        <v>6</v>
      </c>
    </row>
    <row r="43" spans="1:5" x14ac:dyDescent="0.2">
      <c r="A43" t="s">
        <v>159</v>
      </c>
      <c r="B43">
        <f t="shared" si="6"/>
        <v>0</v>
      </c>
      <c r="C43">
        <f t="shared" si="7"/>
        <v>1</v>
      </c>
      <c r="D43">
        <f t="shared" si="8"/>
        <v>0</v>
      </c>
      <c r="E43">
        <v>2</v>
      </c>
    </row>
    <row r="44" spans="1:5" x14ac:dyDescent="0.2">
      <c r="A44" t="s">
        <v>160</v>
      </c>
      <c r="B44">
        <f t="shared" si="6"/>
        <v>1</v>
      </c>
      <c r="C44">
        <f t="shared" si="7"/>
        <v>0</v>
      </c>
      <c r="D44">
        <f t="shared" si="8"/>
        <v>0</v>
      </c>
      <c r="E44">
        <v>1</v>
      </c>
    </row>
    <row r="45" spans="1:5" x14ac:dyDescent="0.2">
      <c r="A45" t="s">
        <v>161</v>
      </c>
      <c r="B45">
        <f t="shared" si="6"/>
        <v>1</v>
      </c>
      <c r="C45">
        <f t="shared" si="7"/>
        <v>0</v>
      </c>
      <c r="D45">
        <f t="shared" si="8"/>
        <v>0</v>
      </c>
      <c r="E45">
        <v>1</v>
      </c>
    </row>
  </sheetData>
  <mergeCells count="2">
    <mergeCell ref="B1:D1"/>
    <mergeCell ref="F10:G2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E561B-C106-6A43-BCB7-338DBA785955}">
  <dimension ref="J3:M10"/>
  <sheetViews>
    <sheetView workbookViewId="0">
      <selection activeCell="J3" sqref="J3:M10"/>
    </sheetView>
  </sheetViews>
  <sheetFormatPr baseColWidth="10" defaultRowHeight="16" x14ac:dyDescent="0.2"/>
  <sheetData>
    <row r="3" spans="10:13" x14ac:dyDescent="0.2">
      <c r="J3" s="34"/>
      <c r="K3" s="34"/>
      <c r="L3" s="34"/>
      <c r="M3" s="34"/>
    </row>
    <row r="4" spans="10:13" x14ac:dyDescent="0.2">
      <c r="J4" s="34"/>
      <c r="K4" s="34"/>
      <c r="L4" s="34"/>
      <c r="M4" s="34"/>
    </row>
    <row r="5" spans="10:13" x14ac:dyDescent="0.2">
      <c r="J5" s="34"/>
      <c r="K5" s="34"/>
      <c r="L5" s="34"/>
      <c r="M5" s="34"/>
    </row>
    <row r="6" spans="10:13" x14ac:dyDescent="0.2">
      <c r="J6" s="34"/>
      <c r="K6" s="34"/>
      <c r="L6" s="34"/>
      <c r="M6" s="34"/>
    </row>
    <row r="7" spans="10:13" x14ac:dyDescent="0.2">
      <c r="J7" s="34"/>
      <c r="K7" s="34"/>
      <c r="L7" s="34"/>
      <c r="M7" s="34"/>
    </row>
    <row r="8" spans="10:13" x14ac:dyDescent="0.2">
      <c r="J8" s="34"/>
      <c r="K8" s="34"/>
      <c r="L8" s="34"/>
      <c r="M8" s="34"/>
    </row>
    <row r="9" spans="10:13" x14ac:dyDescent="0.2">
      <c r="J9" s="34"/>
      <c r="K9" s="34"/>
      <c r="L9" s="34"/>
      <c r="M9" s="34"/>
    </row>
    <row r="10" spans="10:13" x14ac:dyDescent="0.2">
      <c r="J10" s="34"/>
      <c r="K10" s="34"/>
      <c r="L10" s="34"/>
      <c r="M10" s="34"/>
    </row>
  </sheetData>
  <mergeCells count="1">
    <mergeCell ref="J3:M10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9BEAB-855B-5546-BEEF-AFDA45CA7B10}">
  <dimension ref="A1:D53"/>
  <sheetViews>
    <sheetView topLeftCell="A17" workbookViewId="0">
      <selection activeCell="G34" sqref="G34"/>
    </sheetView>
  </sheetViews>
  <sheetFormatPr baseColWidth="10" defaultRowHeight="16" x14ac:dyDescent="0.2"/>
  <cols>
    <col min="1" max="1" width="27.1640625" customWidth="1"/>
    <col min="2" max="2" width="32.6640625" customWidth="1"/>
    <col min="3" max="3" width="32.33203125" customWidth="1"/>
    <col min="4" max="4" width="10.83203125" style="25"/>
    <col min="5" max="5" width="31.5" customWidth="1"/>
  </cols>
  <sheetData>
    <row r="1" spans="1:4" ht="17" x14ac:dyDescent="0.2">
      <c r="A1" s="20"/>
      <c r="B1" s="21" t="s">
        <v>63</v>
      </c>
      <c r="C1" s="22" t="s">
        <v>64</v>
      </c>
      <c r="D1" s="23" t="s">
        <v>65</v>
      </c>
    </row>
    <row r="2" spans="1:4" ht="17" x14ac:dyDescent="0.2">
      <c r="A2" s="21" t="s">
        <v>66</v>
      </c>
      <c r="B2" s="20" t="s">
        <v>67</v>
      </c>
      <c r="C2" s="24" t="s">
        <v>68</v>
      </c>
      <c r="D2" s="25">
        <v>0.39900000000000002</v>
      </c>
    </row>
    <row r="3" spans="1:4" ht="17" x14ac:dyDescent="0.2">
      <c r="A3" s="21" t="s">
        <v>69</v>
      </c>
      <c r="B3" s="20" t="s">
        <v>70</v>
      </c>
      <c r="C3" s="24" t="s">
        <v>71</v>
      </c>
      <c r="D3" s="25" t="s">
        <v>44</v>
      </c>
    </row>
    <row r="4" spans="1:4" ht="17" x14ac:dyDescent="0.2">
      <c r="A4" s="21" t="s">
        <v>60</v>
      </c>
      <c r="B4" s="20"/>
      <c r="C4" s="24"/>
    </row>
    <row r="5" spans="1:4" ht="17" x14ac:dyDescent="0.2">
      <c r="A5" s="20" t="s">
        <v>62</v>
      </c>
      <c r="B5" s="20" t="s">
        <v>72</v>
      </c>
      <c r="C5" s="24" t="s">
        <v>73</v>
      </c>
      <c r="D5" s="25">
        <v>0.13100000000000001</v>
      </c>
    </row>
    <row r="6" spans="1:4" ht="17" x14ac:dyDescent="0.2">
      <c r="A6" s="20" t="s">
        <v>61</v>
      </c>
      <c r="B6" s="20" t="s">
        <v>74</v>
      </c>
      <c r="C6" s="24" t="s">
        <v>75</v>
      </c>
      <c r="D6" s="25">
        <v>5.7000000000000002E-2</v>
      </c>
    </row>
    <row r="7" spans="1:4" ht="17" x14ac:dyDescent="0.2">
      <c r="A7" s="21" t="s">
        <v>76</v>
      </c>
      <c r="B7" s="20"/>
      <c r="C7" s="24"/>
    </row>
    <row r="8" spans="1:4" ht="17" x14ac:dyDescent="0.2">
      <c r="A8" s="20" t="s">
        <v>77</v>
      </c>
      <c r="B8" s="20" t="s">
        <v>78</v>
      </c>
      <c r="C8" s="24" t="s">
        <v>79</v>
      </c>
      <c r="D8" s="25">
        <v>0.432</v>
      </c>
    </row>
    <row r="9" spans="1:4" ht="17" x14ac:dyDescent="0.2">
      <c r="A9" s="20" t="s">
        <v>80</v>
      </c>
      <c r="B9" s="20" t="s">
        <v>81</v>
      </c>
      <c r="C9" s="24" t="s">
        <v>82</v>
      </c>
      <c r="D9" s="26">
        <v>0.2</v>
      </c>
    </row>
    <row r="10" spans="1:4" ht="17" x14ac:dyDescent="0.2">
      <c r="A10" s="20" t="s">
        <v>83</v>
      </c>
      <c r="B10" s="20" t="s">
        <v>84</v>
      </c>
      <c r="C10" s="24" t="s">
        <v>85</v>
      </c>
      <c r="D10" s="25">
        <v>0.68500000000000005</v>
      </c>
    </row>
    <row r="11" spans="1:4" ht="17" x14ac:dyDescent="0.2">
      <c r="A11" s="20" t="s">
        <v>86</v>
      </c>
      <c r="B11" s="20" t="s">
        <v>87</v>
      </c>
      <c r="C11" s="24" t="s">
        <v>88</v>
      </c>
      <c r="D11" s="25">
        <v>0.16</v>
      </c>
    </row>
    <row r="12" spans="1:4" ht="17" x14ac:dyDescent="0.2">
      <c r="A12" s="21" t="s">
        <v>89</v>
      </c>
      <c r="B12" s="20"/>
      <c r="C12" s="24"/>
    </row>
    <row r="13" spans="1:4" ht="17" x14ac:dyDescent="0.2">
      <c r="A13" s="20" t="s">
        <v>41</v>
      </c>
      <c r="B13" s="20" t="s">
        <v>90</v>
      </c>
      <c r="C13" s="20" t="s">
        <v>82</v>
      </c>
      <c r="D13" s="25">
        <v>0.29499999999999998</v>
      </c>
    </row>
    <row r="14" spans="1:4" ht="17" x14ac:dyDescent="0.2">
      <c r="A14" s="20" t="s">
        <v>91</v>
      </c>
      <c r="B14" s="20" t="s">
        <v>90</v>
      </c>
      <c r="C14" s="24" t="s">
        <v>92</v>
      </c>
      <c r="D14" s="25">
        <v>0.13800000000000001</v>
      </c>
    </row>
    <row r="15" spans="1:4" ht="17" x14ac:dyDescent="0.2">
      <c r="A15" s="20" t="s">
        <v>93</v>
      </c>
      <c r="B15" s="20">
        <v>0</v>
      </c>
      <c r="C15" s="24" t="s">
        <v>94</v>
      </c>
      <c r="D15" s="25">
        <v>7.0000000000000001E-3</v>
      </c>
    </row>
    <row r="16" spans="1:4" ht="17" x14ac:dyDescent="0.2">
      <c r="A16" s="20" t="s">
        <v>46</v>
      </c>
      <c r="B16" s="20" t="s">
        <v>84</v>
      </c>
      <c r="C16" s="24" t="s">
        <v>85</v>
      </c>
      <c r="D16" s="25">
        <v>0.68500000000000005</v>
      </c>
    </row>
    <row r="17" spans="1:4" ht="17" x14ac:dyDescent="0.2">
      <c r="A17" s="20" t="s">
        <v>12</v>
      </c>
      <c r="B17" s="20" t="s">
        <v>95</v>
      </c>
      <c r="C17" s="24" t="s">
        <v>96</v>
      </c>
      <c r="D17" s="25">
        <v>0.495</v>
      </c>
    </row>
    <row r="18" spans="1:4" ht="17" x14ac:dyDescent="0.2">
      <c r="A18" s="21" t="s">
        <v>97</v>
      </c>
      <c r="B18" s="20"/>
      <c r="C18" s="24"/>
    </row>
    <row r="19" spans="1:4" ht="17" x14ac:dyDescent="0.2">
      <c r="A19" s="20" t="s">
        <v>98</v>
      </c>
      <c r="B19" s="20" t="s">
        <v>99</v>
      </c>
      <c r="C19" s="24" t="s">
        <v>100</v>
      </c>
      <c r="D19" s="25">
        <v>8.7999999999999995E-2</v>
      </c>
    </row>
    <row r="20" spans="1:4" ht="17" x14ac:dyDescent="0.2">
      <c r="A20" s="20" t="s">
        <v>101</v>
      </c>
      <c r="B20" s="20" t="s">
        <v>99</v>
      </c>
      <c r="C20" s="24" t="s">
        <v>88</v>
      </c>
      <c r="D20" s="25">
        <v>0.12</v>
      </c>
    </row>
    <row r="21" spans="1:4" ht="17" x14ac:dyDescent="0.2">
      <c r="A21" s="21" t="s">
        <v>102</v>
      </c>
      <c r="B21" s="20"/>
      <c r="C21" s="24"/>
    </row>
    <row r="22" spans="1:4" ht="17" x14ac:dyDescent="0.2">
      <c r="A22" s="20" t="s">
        <v>51</v>
      </c>
      <c r="B22" s="20" t="s">
        <v>103</v>
      </c>
      <c r="C22" s="24" t="s">
        <v>104</v>
      </c>
      <c r="D22" s="25">
        <v>0.746</v>
      </c>
    </row>
    <row r="23" spans="1:4" ht="17" x14ac:dyDescent="0.2">
      <c r="A23" s="20" t="s">
        <v>52</v>
      </c>
      <c r="B23" s="20" t="s">
        <v>105</v>
      </c>
      <c r="C23" s="24" t="s">
        <v>92</v>
      </c>
      <c r="D23" s="25">
        <v>0.61</v>
      </c>
    </row>
    <row r="24" spans="1:4" ht="17" x14ac:dyDescent="0.2">
      <c r="A24" s="21" t="s">
        <v>106</v>
      </c>
      <c r="B24" s="20"/>
      <c r="C24" s="24"/>
    </row>
    <row r="25" spans="1:4" ht="17" x14ac:dyDescent="0.2">
      <c r="A25" s="20" t="s">
        <v>107</v>
      </c>
      <c r="B25" s="20" t="s">
        <v>108</v>
      </c>
      <c r="C25" s="24" t="s">
        <v>109</v>
      </c>
      <c r="D25" s="25">
        <v>0.51200000000000001</v>
      </c>
    </row>
    <row r="26" spans="1:4" ht="17" x14ac:dyDescent="0.2">
      <c r="A26" s="20" t="s">
        <v>110</v>
      </c>
      <c r="B26" s="20" t="s">
        <v>111</v>
      </c>
      <c r="C26" s="24" t="s">
        <v>109</v>
      </c>
      <c r="D26" s="25">
        <v>0.35499999999999998</v>
      </c>
    </row>
    <row r="27" spans="1:4" ht="17" x14ac:dyDescent="0.2">
      <c r="A27" s="20" t="s">
        <v>112</v>
      </c>
      <c r="B27" s="20" t="s">
        <v>113</v>
      </c>
      <c r="C27" s="24" t="s">
        <v>114</v>
      </c>
      <c r="D27" s="25">
        <v>0.623</v>
      </c>
    </row>
    <row r="28" spans="1:4" ht="17" x14ac:dyDescent="0.2">
      <c r="A28" s="21" t="s">
        <v>115</v>
      </c>
      <c r="B28" s="20"/>
      <c r="C28" s="24"/>
    </row>
    <row r="29" spans="1:4" ht="17" x14ac:dyDescent="0.2">
      <c r="A29" s="20" t="s">
        <v>116</v>
      </c>
      <c r="B29" s="20" t="s">
        <v>117</v>
      </c>
      <c r="C29" s="24" t="s">
        <v>104</v>
      </c>
      <c r="D29" s="25">
        <v>0.113</v>
      </c>
    </row>
    <row r="30" spans="1:4" ht="17" x14ac:dyDescent="0.2">
      <c r="A30" s="20" t="s">
        <v>154</v>
      </c>
      <c r="B30" s="20">
        <v>0</v>
      </c>
      <c r="C30" s="24">
        <v>0</v>
      </c>
      <c r="D30" s="25" t="s">
        <v>44</v>
      </c>
    </row>
    <row r="31" spans="1:4" ht="17" x14ac:dyDescent="0.2">
      <c r="A31" s="20" t="s">
        <v>153</v>
      </c>
      <c r="B31" s="20" t="s">
        <v>118</v>
      </c>
      <c r="C31" s="24" t="s">
        <v>82</v>
      </c>
      <c r="D31" s="25">
        <v>4.9000000000000002E-2</v>
      </c>
    </row>
    <row r="32" spans="1:4" ht="17" x14ac:dyDescent="0.2">
      <c r="A32" s="21" t="s">
        <v>119</v>
      </c>
      <c r="B32" s="20"/>
      <c r="C32" s="24"/>
    </row>
    <row r="33" spans="1:4" ht="17" x14ac:dyDescent="0.2">
      <c r="A33" s="20" t="s">
        <v>120</v>
      </c>
      <c r="B33" s="20" t="s">
        <v>121</v>
      </c>
      <c r="C33" s="24" t="s">
        <v>122</v>
      </c>
      <c r="D33" s="25">
        <v>0.748</v>
      </c>
    </row>
    <row r="34" spans="1:4" ht="34" x14ac:dyDescent="0.2">
      <c r="A34" s="20" t="s">
        <v>123</v>
      </c>
      <c r="B34" s="20" t="s">
        <v>105</v>
      </c>
      <c r="C34" s="24" t="s">
        <v>124</v>
      </c>
      <c r="D34" s="25">
        <v>0.34799999999999998</v>
      </c>
    </row>
    <row r="35" spans="1:4" ht="51" x14ac:dyDescent="0.2">
      <c r="A35" s="20" t="s">
        <v>125</v>
      </c>
      <c r="B35" s="20">
        <v>0</v>
      </c>
      <c r="C35" s="24" t="s">
        <v>113</v>
      </c>
      <c r="D35" s="25">
        <v>1</v>
      </c>
    </row>
    <row r="36" spans="1:4" ht="17" x14ac:dyDescent="0.2">
      <c r="A36" s="21" t="s">
        <v>126</v>
      </c>
      <c r="B36" s="20" t="s">
        <v>127</v>
      </c>
      <c r="C36" s="24" t="s">
        <v>128</v>
      </c>
      <c r="D36" s="25">
        <v>2.9000000000000001E-2</v>
      </c>
    </row>
    <row r="37" spans="1:4" ht="17" x14ac:dyDescent="0.2">
      <c r="A37" s="21" t="s">
        <v>129</v>
      </c>
      <c r="B37" s="20"/>
      <c r="C37" s="24"/>
    </row>
    <row r="38" spans="1:4" ht="17" x14ac:dyDescent="0.2">
      <c r="A38" s="20" t="s">
        <v>130</v>
      </c>
      <c r="B38" s="20" t="s">
        <v>131</v>
      </c>
      <c r="C38" s="24" t="s">
        <v>132</v>
      </c>
      <c r="D38" s="25">
        <v>0.44800000000000001</v>
      </c>
    </row>
    <row r="39" spans="1:4" ht="17" x14ac:dyDescent="0.2">
      <c r="A39" s="20" t="s">
        <v>133</v>
      </c>
      <c r="B39" s="20">
        <v>0</v>
      </c>
      <c r="C39" s="24" t="s">
        <v>134</v>
      </c>
      <c r="D39" s="25">
        <v>0.03</v>
      </c>
    </row>
    <row r="40" spans="1:4" ht="17" x14ac:dyDescent="0.2">
      <c r="A40" s="20" t="s">
        <v>135</v>
      </c>
      <c r="B40" s="20">
        <v>0</v>
      </c>
      <c r="C40" s="24" t="s">
        <v>136</v>
      </c>
      <c r="D40" s="25">
        <v>0.498</v>
      </c>
    </row>
    <row r="41" spans="1:4" ht="17" x14ac:dyDescent="0.2">
      <c r="A41" s="20" t="s">
        <v>137</v>
      </c>
      <c r="B41" s="20" t="s">
        <v>131</v>
      </c>
      <c r="C41" s="24" t="s">
        <v>134</v>
      </c>
      <c r="D41" s="25">
        <v>0.28299999999999997</v>
      </c>
    </row>
    <row r="42" spans="1:4" ht="17" x14ac:dyDescent="0.2">
      <c r="A42" s="20" t="s">
        <v>138</v>
      </c>
      <c r="B42" s="20" t="s">
        <v>139</v>
      </c>
      <c r="C42" s="24" t="s">
        <v>122</v>
      </c>
      <c r="D42" s="25">
        <v>0.77100000000000002</v>
      </c>
    </row>
    <row r="43" spans="1:4" ht="17" x14ac:dyDescent="0.2">
      <c r="A43" s="20" t="s">
        <v>140</v>
      </c>
      <c r="B43" s="20" t="s">
        <v>113</v>
      </c>
      <c r="C43" s="24" t="s">
        <v>136</v>
      </c>
      <c r="D43" s="25">
        <v>1</v>
      </c>
    </row>
    <row r="44" spans="1:4" ht="17" x14ac:dyDescent="0.2">
      <c r="A44" s="20" t="s">
        <v>141</v>
      </c>
      <c r="B44" s="20" t="s">
        <v>139</v>
      </c>
      <c r="C44" s="24" t="s">
        <v>136</v>
      </c>
      <c r="D44" s="25">
        <v>0.23899999999999999</v>
      </c>
    </row>
    <row r="45" spans="1:4" ht="17" x14ac:dyDescent="0.2">
      <c r="A45" s="20" t="s">
        <v>12</v>
      </c>
      <c r="B45" s="20" t="s">
        <v>142</v>
      </c>
      <c r="C45" s="24" t="s">
        <v>134</v>
      </c>
      <c r="D45" s="25">
        <v>0.51600000000000001</v>
      </c>
    </row>
    <row r="46" spans="1:4" ht="17" x14ac:dyDescent="0.2">
      <c r="A46" s="21" t="s">
        <v>143</v>
      </c>
      <c r="B46" s="20">
        <v>0</v>
      </c>
      <c r="C46" s="24" t="s">
        <v>85</v>
      </c>
      <c r="D46" s="25">
        <v>0.123</v>
      </c>
    </row>
    <row r="47" spans="1:4" ht="17" x14ac:dyDescent="0.2">
      <c r="A47" s="21" t="s">
        <v>144</v>
      </c>
      <c r="B47" s="20" t="s">
        <v>145</v>
      </c>
      <c r="C47" s="24" t="s">
        <v>146</v>
      </c>
      <c r="D47" s="25">
        <v>5.1999999999999998E-2</v>
      </c>
    </row>
    <row r="48" spans="1:4" ht="17" x14ac:dyDescent="0.2">
      <c r="A48" s="21" t="s">
        <v>147</v>
      </c>
      <c r="B48" s="20"/>
      <c r="C48" s="24"/>
    </row>
    <row r="49" spans="1:4" ht="34" x14ac:dyDescent="0.2">
      <c r="A49" s="20" t="s">
        <v>148</v>
      </c>
      <c r="B49" s="20" t="s">
        <v>105</v>
      </c>
      <c r="C49" s="24" t="s">
        <v>149</v>
      </c>
      <c r="D49" s="25">
        <v>0.223</v>
      </c>
    </row>
    <row r="50" spans="1:4" ht="34" x14ac:dyDescent="0.2">
      <c r="A50" s="20" t="s">
        <v>150</v>
      </c>
      <c r="B50" s="20" t="s">
        <v>95</v>
      </c>
      <c r="C50" s="24" t="s">
        <v>122</v>
      </c>
      <c r="D50" s="25">
        <v>0.96299999999999997</v>
      </c>
    </row>
    <row r="51" spans="1:4" ht="51" x14ac:dyDescent="0.2">
      <c r="A51" s="21" t="s">
        <v>151</v>
      </c>
      <c r="B51" s="20" t="s">
        <v>95</v>
      </c>
      <c r="C51" s="24" t="s">
        <v>124</v>
      </c>
      <c r="D51" s="25">
        <v>1.0999999999999999E-2</v>
      </c>
    </row>
    <row r="52" spans="1:4" ht="54" x14ac:dyDescent="0.2">
      <c r="A52" s="21" t="s">
        <v>152</v>
      </c>
      <c r="B52" s="20" t="s">
        <v>84</v>
      </c>
      <c r="C52" s="24" t="s">
        <v>132</v>
      </c>
      <c r="D52" s="25">
        <v>0.44800000000000001</v>
      </c>
    </row>
    <row r="53" spans="1:4" x14ac:dyDescent="0.2">
      <c r="A53" s="35" t="s">
        <v>155</v>
      </c>
      <c r="B53" s="35"/>
      <c r="C53" s="35"/>
      <c r="D53" s="35"/>
    </row>
  </sheetData>
  <mergeCells count="1">
    <mergeCell ref="A53:D5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9D3F6-027D-7244-BEEF-7AAFF4C404E7}">
  <dimension ref="A1:L28"/>
  <sheetViews>
    <sheetView workbookViewId="0">
      <selection activeCell="B23" sqref="B23"/>
    </sheetView>
  </sheetViews>
  <sheetFormatPr baseColWidth="10" defaultRowHeight="16" x14ac:dyDescent="0.2"/>
  <cols>
    <col min="1" max="1" width="28.33203125" customWidth="1"/>
    <col min="2" max="2" width="40.5" customWidth="1"/>
    <col min="3" max="3" width="31.5" customWidth="1"/>
  </cols>
  <sheetData>
    <row r="1" spans="1:7" x14ac:dyDescent="0.2">
      <c r="A1" s="6" t="s">
        <v>34</v>
      </c>
      <c r="B1" s="6" t="s">
        <v>169</v>
      </c>
      <c r="C1" s="6" t="s">
        <v>170</v>
      </c>
    </row>
    <row r="2" spans="1:7" x14ac:dyDescent="0.2">
      <c r="A2" s="36" t="s">
        <v>35</v>
      </c>
      <c r="B2" s="36"/>
      <c r="C2" s="36"/>
    </row>
    <row r="3" spans="1:7" x14ac:dyDescent="0.2">
      <c r="A3" t="s">
        <v>35</v>
      </c>
      <c r="B3" t="s">
        <v>36</v>
      </c>
      <c r="C3" t="s">
        <v>36</v>
      </c>
    </row>
    <row r="4" spans="1:7" x14ac:dyDescent="0.2">
      <c r="A4" t="s">
        <v>37</v>
      </c>
      <c r="B4" t="s">
        <v>38</v>
      </c>
      <c r="C4" t="s">
        <v>39</v>
      </c>
    </row>
    <row r="5" spans="1:7" x14ac:dyDescent="0.2">
      <c r="A5" s="36" t="s">
        <v>40</v>
      </c>
      <c r="B5" s="36"/>
      <c r="C5" s="36"/>
    </row>
    <row r="6" spans="1:7" x14ac:dyDescent="0.2">
      <c r="A6" t="s">
        <v>41</v>
      </c>
      <c r="B6" t="s">
        <v>36</v>
      </c>
      <c r="C6" t="s">
        <v>36</v>
      </c>
      <c r="D6" s="34"/>
      <c r="E6" s="34"/>
      <c r="F6" s="34"/>
      <c r="G6" s="34"/>
    </row>
    <row r="7" spans="1:7" x14ac:dyDescent="0.2">
      <c r="A7" t="s">
        <v>42</v>
      </c>
      <c r="B7" t="s">
        <v>43</v>
      </c>
      <c r="C7" t="s">
        <v>44</v>
      </c>
      <c r="D7" s="34"/>
      <c r="E7" s="34"/>
      <c r="F7" s="34"/>
      <c r="G7" s="34"/>
    </row>
    <row r="8" spans="1:7" x14ac:dyDescent="0.2">
      <c r="A8" t="s">
        <v>45</v>
      </c>
      <c r="B8" s="29" t="s">
        <v>171</v>
      </c>
      <c r="C8" t="s">
        <v>44</v>
      </c>
      <c r="D8" s="34"/>
      <c r="E8" s="34"/>
      <c r="F8" s="34"/>
      <c r="G8" s="34"/>
    </row>
    <row r="9" spans="1:7" x14ac:dyDescent="0.2">
      <c r="A9" t="s">
        <v>46</v>
      </c>
      <c r="B9" t="s">
        <v>47</v>
      </c>
      <c r="C9" t="s">
        <v>44</v>
      </c>
      <c r="D9" s="34"/>
      <c r="E9" s="34"/>
      <c r="F9" s="34"/>
      <c r="G9" s="34"/>
    </row>
    <row r="10" spans="1:7" x14ac:dyDescent="0.2">
      <c r="A10" t="s">
        <v>48</v>
      </c>
      <c r="B10" t="s">
        <v>49</v>
      </c>
      <c r="C10" t="s">
        <v>44</v>
      </c>
      <c r="D10" s="34"/>
      <c r="E10" s="34"/>
      <c r="F10" s="34"/>
      <c r="G10" s="34"/>
    </row>
    <row r="11" spans="1:7" x14ac:dyDescent="0.2">
      <c r="A11" s="36" t="s">
        <v>50</v>
      </c>
      <c r="B11" s="36"/>
      <c r="C11" s="36"/>
      <c r="D11" s="34"/>
      <c r="E11" s="34"/>
      <c r="F11" s="34"/>
      <c r="G11" s="34"/>
    </row>
    <row r="12" spans="1:7" x14ac:dyDescent="0.2">
      <c r="A12" t="s">
        <v>51</v>
      </c>
      <c r="B12" t="s">
        <v>36</v>
      </c>
      <c r="C12" t="s">
        <v>36</v>
      </c>
      <c r="D12" s="34"/>
      <c r="E12" s="34"/>
      <c r="F12" s="34"/>
      <c r="G12" s="34"/>
    </row>
    <row r="13" spans="1:7" x14ac:dyDescent="0.2">
      <c r="A13" t="s">
        <v>52</v>
      </c>
      <c r="B13" t="s">
        <v>53</v>
      </c>
      <c r="C13" t="s">
        <v>44</v>
      </c>
      <c r="D13" s="34"/>
      <c r="E13" s="34"/>
      <c r="F13" s="34"/>
      <c r="G13" s="34"/>
    </row>
    <row r="14" spans="1:7" x14ac:dyDescent="0.2">
      <c r="A14" s="36" t="s">
        <v>54</v>
      </c>
      <c r="B14" s="36"/>
      <c r="C14" s="36"/>
    </row>
    <row r="15" spans="1:7" x14ac:dyDescent="0.2">
      <c r="A15" t="s">
        <v>55</v>
      </c>
      <c r="B15" t="s">
        <v>36</v>
      </c>
      <c r="C15" t="s">
        <v>36</v>
      </c>
    </row>
    <row r="16" spans="1:7" x14ac:dyDescent="0.2">
      <c r="A16" t="s">
        <v>56</v>
      </c>
      <c r="B16" t="s">
        <v>53</v>
      </c>
      <c r="C16" t="s">
        <v>57</v>
      </c>
    </row>
    <row r="17" spans="1:12" x14ac:dyDescent="0.2">
      <c r="A17" s="36" t="s">
        <v>58</v>
      </c>
      <c r="B17" s="36"/>
      <c r="C17" s="36"/>
    </row>
    <row r="18" spans="1:12" x14ac:dyDescent="0.2">
      <c r="A18" s="9" t="s">
        <v>58</v>
      </c>
      <c r="B18" t="s">
        <v>59</v>
      </c>
      <c r="C18" t="s">
        <v>44</v>
      </c>
    </row>
    <row r="19" spans="1:12" x14ac:dyDescent="0.2">
      <c r="A19" s="36" t="s">
        <v>60</v>
      </c>
      <c r="B19" s="36"/>
      <c r="C19" s="36"/>
    </row>
    <row r="20" spans="1:12" ht="16" customHeight="1" x14ac:dyDescent="0.2">
      <c r="A20" t="s">
        <v>61</v>
      </c>
      <c r="B20" t="s">
        <v>36</v>
      </c>
      <c r="C20" t="s">
        <v>36</v>
      </c>
      <c r="D20" s="34"/>
      <c r="E20" s="34"/>
      <c r="F20" s="34"/>
      <c r="G20" s="34"/>
      <c r="H20" s="34"/>
      <c r="I20" s="34"/>
      <c r="J20" s="34"/>
      <c r="K20" s="34"/>
      <c r="L20" s="34"/>
    </row>
    <row r="21" spans="1:12" x14ac:dyDescent="0.2">
      <c r="A21" t="s">
        <v>62</v>
      </c>
      <c r="B21" s="19" t="s">
        <v>174</v>
      </c>
      <c r="C21" t="s">
        <v>173</v>
      </c>
      <c r="D21" s="34"/>
      <c r="E21" s="34"/>
      <c r="F21" s="34"/>
      <c r="G21" s="34"/>
      <c r="H21" s="34"/>
      <c r="I21" s="34"/>
      <c r="J21" s="34"/>
      <c r="K21" s="34"/>
      <c r="L21" s="34"/>
    </row>
    <row r="22" spans="1:12" x14ac:dyDescent="0.2">
      <c r="D22" s="34"/>
      <c r="E22" s="34"/>
      <c r="F22" s="34"/>
      <c r="G22" s="34"/>
      <c r="H22" s="34"/>
      <c r="I22" s="34"/>
      <c r="J22" s="34"/>
      <c r="K22" s="34"/>
      <c r="L22" s="34"/>
    </row>
    <row r="23" spans="1:12" x14ac:dyDescent="0.2">
      <c r="D23" s="34"/>
      <c r="E23" s="34"/>
      <c r="F23" s="34"/>
      <c r="G23" s="34"/>
      <c r="H23" s="34"/>
      <c r="I23" s="34"/>
      <c r="J23" s="34"/>
      <c r="K23" s="34"/>
      <c r="L23" s="34"/>
    </row>
    <row r="24" spans="1:12" x14ac:dyDescent="0.2">
      <c r="D24" s="34"/>
      <c r="E24" s="34"/>
      <c r="F24" s="34"/>
      <c r="G24" s="34"/>
      <c r="H24" s="34"/>
      <c r="I24" s="34"/>
      <c r="J24" s="34"/>
      <c r="K24" s="34"/>
      <c r="L24" s="34"/>
    </row>
    <row r="25" spans="1:12" x14ac:dyDescent="0.2">
      <c r="D25" s="34"/>
      <c r="E25" s="34"/>
      <c r="F25" s="34"/>
      <c r="G25" s="34"/>
      <c r="H25" s="34"/>
      <c r="I25" s="34"/>
      <c r="J25" s="34"/>
      <c r="K25" s="34"/>
      <c r="L25" s="34"/>
    </row>
    <row r="26" spans="1:12" x14ac:dyDescent="0.2">
      <c r="D26" s="34"/>
      <c r="E26" s="34"/>
      <c r="F26" s="34"/>
      <c r="G26" s="34"/>
      <c r="H26" s="34"/>
      <c r="I26" s="34"/>
      <c r="J26" s="34"/>
      <c r="K26" s="34"/>
      <c r="L26" s="34"/>
    </row>
    <row r="27" spans="1:12" x14ac:dyDescent="0.2">
      <c r="D27" s="34"/>
      <c r="E27" s="34"/>
      <c r="F27" s="34"/>
      <c r="G27" s="34"/>
      <c r="H27" s="34"/>
      <c r="I27" s="34"/>
      <c r="J27" s="34"/>
      <c r="K27" s="34"/>
      <c r="L27" s="34"/>
    </row>
    <row r="28" spans="1:12" x14ac:dyDescent="0.2">
      <c r="D28" s="34"/>
      <c r="E28" s="34"/>
      <c r="F28" s="34"/>
      <c r="G28" s="34"/>
      <c r="H28" s="34"/>
      <c r="I28" s="34"/>
      <c r="J28" s="34"/>
      <c r="K28" s="34"/>
      <c r="L28" s="34"/>
    </row>
  </sheetData>
  <mergeCells count="8">
    <mergeCell ref="D6:G13"/>
    <mergeCell ref="D20:L28"/>
    <mergeCell ref="A2:C2"/>
    <mergeCell ref="A5:C5"/>
    <mergeCell ref="A11:C11"/>
    <mergeCell ref="A14:C14"/>
    <mergeCell ref="A19:C19"/>
    <mergeCell ref="A17:C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Figure 1</vt:lpstr>
      <vt:lpstr>Figure 2</vt:lpstr>
      <vt:lpstr>Figure 3</vt:lpstr>
      <vt:lpstr>Figure 4</vt:lpstr>
      <vt:lpstr>Figure 5</vt:lpstr>
      <vt:lpstr>Table 1</vt:lpstr>
      <vt:lpstr>Table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 Lodha</dc:creator>
  <cp:lastModifiedBy>Shweta Lodha</cp:lastModifiedBy>
  <dcterms:created xsi:type="dcterms:W3CDTF">2026-03-16T17:37:23Z</dcterms:created>
  <dcterms:modified xsi:type="dcterms:W3CDTF">2026-05-25T18:08:49Z</dcterms:modified>
</cp:coreProperties>
</file>